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5" sheetId="1" r:id="rId4"/>
  </sheets>
  <definedNames/>
  <calcPr/>
</workbook>
</file>

<file path=xl/sharedStrings.xml><?xml version="1.0" encoding="utf-8"?>
<sst xmlns="http://schemas.openxmlformats.org/spreadsheetml/2006/main" count="703" uniqueCount="286">
  <si>
    <t>Date / Time</t>
  </si>
  <si>
    <t>Event Type</t>
  </si>
  <si>
    <t>Event Information</t>
  </si>
  <si>
    <t>Venue</t>
  </si>
  <si>
    <t>Cost</t>
  </si>
  <si>
    <t>Festival - Food</t>
  </si>
  <si>
    <t>Greater Moncton Poutine Week</t>
  </si>
  <si>
    <t>Various</t>
  </si>
  <si>
    <t>Movie - Prison Drama</t>
  </si>
  <si>
    <t>Sing Sing (2023)</t>
  </si>
  <si>
    <t>Far Out East Cinema</t>
  </si>
  <si>
    <r>
      <rPr>
        <rFont val="Roboto"/>
        <color theme="1"/>
      </rPr>
      <t xml:space="preserve">Theatre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</si>
  <si>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Parler mal
</t>
    </r>
    <r>
      <rPr>
        <rFont val="Roboto"/>
        <i/>
        <color theme="1"/>
        <sz val="9.0"/>
      </rPr>
      <t>Un docu-fiction théâtral sur l’insécurité linguistique</t>
    </r>
  </si>
  <si>
    <t>Théâtre l'Escaouette</t>
  </si>
  <si>
    <t>Community - Workshop</t>
  </si>
  <si>
    <r>
      <rPr>
        <rFont val="Roboto"/>
        <color theme="1"/>
      </rPr>
      <t xml:space="preserve">Wood Sculpture
</t>
    </r>
    <r>
      <rPr>
        <rFont val="Roboto"/>
        <i/>
        <color theme="1"/>
        <sz val="9.0"/>
      </rPr>
      <t>With André Lapointe</t>
    </r>
  </si>
  <si>
    <t>Dieppe Arts and Culture Centre</t>
  </si>
  <si>
    <r>
      <rPr>
        <rFont val="Roboto"/>
        <color theme="1"/>
      </rPr>
      <t xml:space="preserve">$690
</t>
    </r>
    <r>
      <rPr>
        <rFont val="Roboto"/>
        <i/>
        <color theme="1"/>
        <sz val="9.0"/>
      </rPr>
      <t>(18 sessions)</t>
    </r>
  </si>
  <si>
    <r>
      <rPr>
        <rFont val="Roboto"/>
        <color theme="1"/>
      </rPr>
      <t xml:space="preserve">Comedy - Improv </t>
    </r>
    <r>
      <rPr>
        <rFont val="Courier New"/>
        <color theme="1"/>
        <sz val="9.0"/>
      </rPr>
      <t>[FR]</t>
    </r>
  </si>
  <si>
    <t>LIO - Saison 10</t>
  </si>
  <si>
    <t>Other - Bingo</t>
  </si>
  <si>
    <t>Wednesday Night Bingo</t>
  </si>
  <si>
    <t>Riverview Lions Community Centre</t>
  </si>
  <si>
    <t>$15+</t>
  </si>
  <si>
    <t>Games - Cards</t>
  </si>
  <si>
    <t>Wednesday Night Euchre</t>
  </si>
  <si>
    <t>Royal Canadian Legion Branch 6</t>
  </si>
  <si>
    <t>Music</t>
  </si>
  <si>
    <t>Elm City String Quartet</t>
  </si>
  <si>
    <t>Aberdeen Cultural Centre</t>
  </si>
  <si>
    <r>
      <rPr>
        <rFont val="Roboto"/>
        <color theme="1"/>
      </rPr>
      <t xml:space="preserve">Theatre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</si>
  <si>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Parler mal
</t>
    </r>
    <r>
      <rPr>
        <rFont val="Roboto"/>
        <i/>
        <color theme="1"/>
        <sz val="9.0"/>
      </rPr>
      <t>Un docu-fiction théâtral sur l’insécurité linguistique</t>
    </r>
  </si>
  <si>
    <t>Movie</t>
  </si>
  <si>
    <r>
      <rPr>
        <rFont val="Roboto"/>
        <color theme="1"/>
      </rPr>
      <t xml:space="preserve">The Big Lebowski (1998)
</t>
    </r>
    <r>
      <rPr>
        <rFont val="Roboto"/>
        <i/>
        <color theme="1"/>
        <sz val="8.0"/>
      </rPr>
      <t>With drink specials on White Russians!</t>
    </r>
  </si>
  <si>
    <t>Xeroz Arcade/Bar</t>
  </si>
  <si>
    <t>Free</t>
  </si>
  <si>
    <r>
      <rPr>
        <rFont val="Roboto"/>
        <color theme="1"/>
      </rPr>
      <t xml:space="preserve">Theatre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</si>
  <si>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Parler mal
</t>
    </r>
    <r>
      <rPr>
        <rFont val="Roboto"/>
        <i/>
        <color theme="1"/>
        <sz val="9.0"/>
      </rPr>
      <t>Un docu-fiction théâtral sur l’insécurité linguistique</t>
    </r>
  </si>
  <si>
    <t>Comedy</t>
  </si>
  <si>
    <t>Hughie Batherson
Evan Steeves
Maggie Estey</t>
  </si>
  <si>
    <t>Gypsy Reese</t>
  </si>
  <si>
    <t>Hub City Pub</t>
  </si>
  <si>
    <t>Exhibition - Boat, Fishing</t>
  </si>
  <si>
    <t>Moncton Boat and Sportsmen Show</t>
  </si>
  <si>
    <t>Moncton Coliseum</t>
  </si>
  <si>
    <t>Theatre - Dinner</t>
  </si>
  <si>
    <t>Murder at McSweeney's</t>
  </si>
  <si>
    <t>McSweeney's Dinner Theatre</t>
  </si>
  <si>
    <t>$61-$74</t>
  </si>
  <si>
    <r>
      <rPr>
        <rFont val="Roboto"/>
        <color theme="1"/>
      </rPr>
      <t xml:space="preserve">Theatre - Comedy </t>
    </r>
    <r>
      <rPr>
        <rFont val="Courier New"/>
        <color theme="1"/>
        <sz val="9.0"/>
      </rPr>
      <t>[FR]</t>
    </r>
  </si>
  <si>
    <t>Clinique Beauté Discount - Troupe du Monument</t>
  </si>
  <si>
    <t>Monument-Lefebvre</t>
  </si>
  <si>
    <t>Snowed In Comedy Tour
- Erica Sigurdson
- Pete Zedlacher
- Dan Quinn
- Paul Myrehaug</t>
  </si>
  <si>
    <t>Capitol Theatre</t>
  </si>
  <si>
    <t>Music - Country</t>
  </si>
  <si>
    <t>The Mainlanders Album Release Party!</t>
  </si>
  <si>
    <t>O'Creek Brewing Company</t>
  </si>
  <si>
    <t>Music - Grunge</t>
  </si>
  <si>
    <t>SLIRVANA: Nirvana Tribute Night</t>
  </si>
  <si>
    <r>
      <rPr>
        <rFont val="Roboto"/>
        <color theme="1"/>
      </rPr>
      <t xml:space="preserve">Comedy </t>
    </r>
    <r>
      <rPr>
        <rFont val="Courier New"/>
        <color theme="1"/>
        <sz val="9.0"/>
      </rPr>
      <t>[FR | EN]</t>
    </r>
  </si>
  <si>
    <t>Sugar Sammy: You're Gonna Rire 2</t>
  </si>
  <si>
    <t>The Blacksheep</t>
  </si>
  <si>
    <t>Community - Market</t>
  </si>
  <si>
    <t>Greater Moncton's Small Business Expo 2025</t>
  </si>
  <si>
    <r>
      <rPr>
        <rFont val="Roboto"/>
        <color theme="1"/>
      </rPr>
      <t xml:space="preserve">Drawing
</t>
    </r>
    <r>
      <rPr>
        <rFont val="Roboto"/>
        <i/>
        <color theme="1"/>
        <sz val="9.0"/>
      </rPr>
      <t>With Jessie Babin</t>
    </r>
  </si>
  <si>
    <r>
      <rPr>
        <rFont val="Roboto"/>
        <color theme="1"/>
      </rPr>
      <t xml:space="preserve">$138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</si>
  <si>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Community - Workshop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</si>
  <si>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Sewing Workshop
</t>
    </r>
    <r>
      <rPr>
        <rFont val="Roboto"/>
        <i/>
        <color theme="1"/>
        <sz val="9.0"/>
      </rPr>
      <t>With Guylaine Joly</t>
    </r>
  </si>
  <si>
    <r>
      <rPr>
        <rFont val="Roboto"/>
        <color theme="1"/>
      </rPr>
      <t xml:space="preserve">$276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</si>
  <si>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Theatre - Comedy </t>
    </r>
    <r>
      <rPr>
        <rFont val="Courier New"/>
        <color theme="1"/>
        <sz val="9.0"/>
      </rPr>
      <t>[FR]</t>
    </r>
  </si>
  <si>
    <t>Derek Edwards: Oxy Moron</t>
  </si>
  <si>
    <t>Music - Folk, Indie</t>
  </si>
  <si>
    <t>Kylie Fox
Maude Sonier</t>
  </si>
  <si>
    <t>Empress Theatre</t>
  </si>
  <si>
    <t>Variety - Drag</t>
  </si>
  <si>
    <t>Alternative Drag Show</t>
  </si>
  <si>
    <t>$10-$15</t>
  </si>
  <si>
    <t>Music - Pop</t>
  </si>
  <si>
    <t>WANNABE (Spice Girls Tribute)</t>
  </si>
  <si>
    <t>Tide &amp; Boar Ballroom</t>
  </si>
  <si>
    <t>Southern Comfort</t>
  </si>
  <si>
    <t>Love &amp; Hoppiness with Wallace &amp; Metaphyzik</t>
  </si>
  <si>
    <t>Tide &amp; Boar Gastropub</t>
  </si>
  <si>
    <t>$12-$15</t>
  </si>
  <si>
    <r>
      <rPr>
        <rFont val="Roboto"/>
        <color theme="1"/>
      </rPr>
      <t xml:space="preserve">Theatre - Comedy </t>
    </r>
    <r>
      <rPr>
        <rFont val="Courier New"/>
        <color theme="1"/>
        <sz val="9.0"/>
      </rPr>
      <t>[FR]</t>
    </r>
  </si>
  <si>
    <t>Écrivez-moi</t>
  </si>
  <si>
    <t>Tutta Musica Orchestra Presents Broadway Review: 3 Divas!</t>
  </si>
  <si>
    <t>Riverview Arts Centre</t>
  </si>
  <si>
    <t>Trivia</t>
  </si>
  <si>
    <t>Trivia Night O'Creek Brewing</t>
  </si>
  <si>
    <t>Brewery Bingo</t>
  </si>
  <si>
    <t>Tide &amp; Boar Brewing</t>
  </si>
  <si>
    <t>Music - Jazz</t>
  </si>
  <si>
    <t>Concert annuel de l'ensemble de jazz de l'Université de Moncton</t>
  </si>
  <si>
    <t>Movie - Political Drama</t>
  </si>
  <si>
    <t>The Seed of the Sacred Fig (2024)</t>
  </si>
  <si>
    <r>
      <rPr>
        <rFont val="Roboto"/>
        <color theme="1"/>
      </rPr>
      <t xml:space="preserve">Wood Sculpture
</t>
    </r>
    <r>
      <rPr>
        <rFont val="Roboto"/>
        <i/>
        <color theme="1"/>
        <sz val="9.0"/>
      </rPr>
      <t>With André Lapointe</t>
    </r>
  </si>
  <si>
    <r>
      <rPr>
        <rFont val="Roboto"/>
        <color theme="1"/>
      </rPr>
      <t xml:space="preserve">$690
</t>
    </r>
    <r>
      <rPr>
        <rFont val="Roboto"/>
        <i/>
        <color theme="1"/>
        <sz val="9.0"/>
      </rPr>
      <t>(18 sessions)</t>
    </r>
  </si>
  <si>
    <r>
      <rPr>
        <rFont val="Roboto"/>
        <color theme="1"/>
      </rPr>
      <t xml:space="preserve">Comedy - Improv </t>
    </r>
    <r>
      <rPr>
        <rFont val="Courier New"/>
        <color theme="1"/>
        <sz val="9.0"/>
      </rPr>
      <t>[FR]</t>
    </r>
  </si>
  <si>
    <t>Theatre - Musical</t>
  </si>
  <si>
    <t>GREASE The Musical!</t>
  </si>
  <si>
    <t>Moncton High School</t>
  </si>
  <si>
    <t>The Gay AF Comedy Tour
- Ava Val
- Robert Watson
- Dylan Mahaney</t>
  </si>
  <si>
    <t>$21-$28</t>
  </si>
  <si>
    <r>
      <rPr>
        <rFont val="Roboto"/>
        <color theme="1"/>
      </rPr>
      <t xml:space="preserve">Fauré's Requiem
</t>
    </r>
    <r>
      <rPr>
        <rFont val="Roboto"/>
        <i/>
        <color theme="1"/>
      </rPr>
      <t>Symphony New Brunswick</t>
    </r>
  </si>
  <si>
    <r>
      <rPr>
        <rFont val="Roboto"/>
        <color theme="1"/>
      </rPr>
      <t xml:space="preserve">Theatre </t>
    </r>
    <r>
      <rPr>
        <rFont val="Roboto"/>
        <color theme="1"/>
        <sz val="9.0"/>
      </rPr>
      <t>[FR]</t>
    </r>
  </si>
  <si>
    <t>USE ET ABUSE</t>
  </si>
  <si>
    <r>
      <rPr>
        <rFont val="Roboto"/>
        <color theme="1"/>
      </rPr>
      <t xml:space="preserve">Comedy </t>
    </r>
    <r>
      <rPr>
        <rFont val="Roboto"/>
        <color theme="1"/>
        <sz val="9.0"/>
      </rPr>
      <t>[FR]</t>
    </r>
  </si>
  <si>
    <t>Matthieu Pepper</t>
  </si>
  <si>
    <r>
      <rPr>
        <rFont val="Roboto"/>
        <color theme="1"/>
      </rPr>
      <t xml:space="preserve">Theatre </t>
    </r>
    <r>
      <rPr>
        <rFont val="Roboto"/>
        <color theme="1"/>
        <sz val="9.0"/>
      </rPr>
      <t>[FR]</t>
    </r>
  </si>
  <si>
    <t>Phil Black</t>
  </si>
  <si>
    <t>Music - Southern Rock</t>
  </si>
  <si>
    <t>Connor Fox Trio
Kendra Gale</t>
  </si>
  <si>
    <r>
      <rPr>
        <rFont val="Roboto"/>
        <color theme="1"/>
      </rPr>
      <t xml:space="preserve">Paint Night: Colorful Landscape Edition
</t>
    </r>
    <r>
      <rPr>
        <rFont val="Roboto"/>
        <i/>
        <color theme="1"/>
        <sz val="9.0"/>
      </rPr>
      <t>With Elise</t>
    </r>
  </si>
  <si>
    <t>Maker Hub</t>
  </si>
  <si>
    <t>Sports - Hockey (QMJHL)</t>
  </si>
  <si>
    <t>Playoffs RD #2 GM #1: Moncton Wildcats vs Baie-Comeau Drakkar</t>
  </si>
  <si>
    <t>Avenir Centre</t>
  </si>
  <si>
    <t>$24-$27</t>
  </si>
  <si>
    <t>Sports - Basketball</t>
  </si>
  <si>
    <t>Tri-City Tide vs Halifax Hoopers</t>
  </si>
  <si>
    <t>Crandall University</t>
  </si>
  <si>
    <t>$20-$89</t>
  </si>
  <si>
    <r>
      <rPr>
        <rFont val="Roboto"/>
        <color theme="1"/>
      </rPr>
      <t xml:space="preserve">Theatre - Comedy </t>
    </r>
    <r>
      <rPr>
        <rFont val="Courier New"/>
        <color theme="1"/>
        <sz val="9.0"/>
      </rPr>
      <t>[FR]</t>
    </r>
  </si>
  <si>
    <t>Music - Punk Rock</t>
  </si>
  <si>
    <t>The Follow Ups
Teeth Out
Split Zipper</t>
  </si>
  <si>
    <t>Randomz Band</t>
  </si>
  <si>
    <r>
      <rPr>
        <rFont val="Roboto"/>
        <color theme="1"/>
      </rPr>
      <t xml:space="preserve">Drawing
</t>
    </r>
    <r>
      <rPr>
        <rFont val="Roboto"/>
        <i/>
        <color theme="1"/>
        <sz val="9.0"/>
      </rPr>
      <t>With Jessie Babin</t>
    </r>
  </si>
  <si>
    <r>
      <rPr>
        <rFont val="Roboto"/>
        <color theme="1"/>
      </rPr>
      <t xml:space="preserve">$138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</si>
  <si>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Community - Workshop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</si>
  <si>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Sewing Workshop
</t>
    </r>
    <r>
      <rPr>
        <rFont val="Roboto"/>
        <i/>
        <color theme="1"/>
        <sz val="9.0"/>
      </rPr>
      <t>With Guylaine Joly</t>
    </r>
  </si>
  <si>
    <r>
      <rPr>
        <rFont val="Roboto"/>
        <color theme="1"/>
      </rPr>
      <t xml:space="preserve">$276
</t>
    </r>
    <r>
      <rPr>
        <rFont val="Roboto"/>
        <i/>
        <color theme="1"/>
        <sz val="9.0"/>
      </rPr>
      <t>(4 sessions)</t>
    </r>
  </si>
  <si>
    <t>Exhibition - Health, Wellness</t>
  </si>
  <si>
    <t>Moncton Wellness Expo</t>
  </si>
  <si>
    <r>
      <rPr>
        <rFont val="Roboto"/>
        <color theme="1"/>
      </rPr>
      <t xml:space="preserve">Paint a 3D printed Egg Container
</t>
    </r>
    <r>
      <rPr>
        <rFont val="Roboto"/>
        <i/>
        <color theme="1"/>
        <sz val="9.0"/>
      </rPr>
      <t>With Elise</t>
    </r>
  </si>
  <si>
    <t>Tri-City Tide Spring Basketball Camp</t>
  </si>
  <si>
    <t>Candlelight: Coldplay x Imagine Dragons</t>
  </si>
  <si>
    <t>Cathédrale Notre-Dame-de-l'Assomption</t>
  </si>
  <si>
    <t>$34-$66</t>
  </si>
  <si>
    <t>Sports - MMA</t>
  </si>
  <si>
    <t>Fight League Atantic 19</t>
  </si>
  <si>
    <r>
      <rPr>
        <rFont val="Roboto"/>
        <color theme="1"/>
      </rPr>
      <t xml:space="preserve">Theatre - Comedy </t>
    </r>
    <r>
      <rPr>
        <rFont val="Courier New"/>
        <color theme="1"/>
        <sz val="9.0"/>
      </rPr>
      <t>[FR]</t>
    </r>
  </si>
  <si>
    <t>Laurie LeBlanc Honours Alan Jackson &amp; George Straight</t>
  </si>
  <si>
    <t>$55-$67</t>
  </si>
  <si>
    <t>Music - Rap</t>
  </si>
  <si>
    <t>Where The Party At Tour
- Ja Rule
- Nelly &amp; St. Lunatics
- Jermaine Dupri</t>
  </si>
  <si>
    <t>$75-$168</t>
  </si>
  <si>
    <t>Dirty Dancing in Concert</t>
  </si>
  <si>
    <t>Molson Canadian Centre</t>
  </si>
  <si>
    <t>$50-$75</t>
  </si>
  <si>
    <t>Music - Metal</t>
  </si>
  <si>
    <t>Maggots - Slipknot Tribute</t>
  </si>
  <si>
    <t>Candlelight: Queen vs ABBA</t>
  </si>
  <si>
    <t>Thirsty Rangers</t>
  </si>
  <si>
    <t>Hub Town HOE-Down 3</t>
  </si>
  <si>
    <t>Music - Hip-Hop</t>
  </si>
  <si>
    <t>Robbie G
Sw3aty Sam
Flix
Stacks
MDB
Cody Alward</t>
  </si>
  <si>
    <t>Playoffs RD #2 GM #2: Moncton Wildcats vs Baie-Comeau Drakkar</t>
  </si>
  <si>
    <t>Variety - Circus</t>
  </si>
  <si>
    <t>The Peking Acrobats</t>
  </si>
  <si>
    <t>Steve-O: Super Dummy! Tour</t>
  </si>
  <si>
    <t>$71-$82</t>
  </si>
  <si>
    <r>
      <rPr>
        <rFont val="Roboto"/>
        <color theme="1"/>
      </rPr>
      <t xml:space="preserve">Touches Modernes
</t>
    </r>
    <r>
      <rPr>
        <rFont val="Roboto"/>
        <i/>
        <color theme="1"/>
        <sz val="9.0"/>
      </rPr>
      <t>Gabrielle Gagnon-Picard</t>
    </r>
  </si>
  <si>
    <t>Movie - Drama</t>
  </si>
  <si>
    <t>The Brutalist (2024)</t>
  </si>
  <si>
    <r>
      <rPr>
        <rFont val="Roboto"/>
        <color theme="1"/>
      </rPr>
      <t xml:space="preserve">Wood Sculpture
</t>
    </r>
    <r>
      <rPr>
        <rFont val="Roboto"/>
        <i/>
        <color theme="1"/>
        <sz val="9.0"/>
      </rPr>
      <t>With André Lapointe</t>
    </r>
  </si>
  <si>
    <r>
      <rPr>
        <rFont val="Roboto"/>
        <color theme="1"/>
      </rPr>
      <t xml:space="preserve">$690
</t>
    </r>
    <r>
      <rPr>
        <rFont val="Roboto"/>
        <i/>
        <color theme="1"/>
        <sz val="9.0"/>
      </rPr>
      <t>(18 sessions)</t>
    </r>
  </si>
  <si>
    <r>
      <rPr>
        <rFont val="Roboto"/>
        <color theme="1"/>
      </rPr>
      <t xml:space="preserve">Paint a 3D printed Egg Container
</t>
    </r>
    <r>
      <rPr>
        <rFont val="Roboto"/>
        <i/>
        <color theme="1"/>
        <sz val="9.0"/>
      </rPr>
      <t>With Elise</t>
    </r>
  </si>
  <si>
    <r>
      <rPr>
        <rFont val="Roboto"/>
        <color theme="1"/>
      </rPr>
      <t xml:space="preserve">Comedy - Improv </t>
    </r>
    <r>
      <rPr>
        <rFont val="Courier New"/>
        <color theme="1"/>
        <sz val="9.0"/>
      </rPr>
      <t>[FR]</t>
    </r>
  </si>
  <si>
    <t>Old Cherry</t>
  </si>
  <si>
    <r>
      <rPr>
        <rFont val="Roboto"/>
        <color theme="1"/>
      </rPr>
      <t xml:space="preserve">Community - Workshop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</si>
  <si>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Watercolor Painting for Kids
</t>
    </r>
    <r>
      <rPr>
        <rFont val="Roboto"/>
        <i/>
        <color theme="1"/>
        <sz val="9.0"/>
      </rPr>
      <t>With Marie Bordet</t>
    </r>
  </si>
  <si>
    <t>Jon Pickett</t>
  </si>
  <si>
    <r>
      <rPr>
        <rFont val="Roboto"/>
        <color theme="1"/>
      </rPr>
      <t xml:space="preserve">Music - Country </t>
    </r>
    <r>
      <rPr>
        <rFont val="Courier New"/>
        <color theme="1"/>
        <sz val="9.0"/>
      </rPr>
      <t>[FR]</t>
    </r>
  </si>
  <si>
    <t>Les Gars du Nord</t>
  </si>
  <si>
    <t>Clinton Fernandes</t>
  </si>
  <si>
    <r>
      <rPr>
        <rFont val="Roboto"/>
        <color theme="1"/>
      </rPr>
      <t xml:space="preserve">Mugs &amp; Merlot
</t>
    </r>
    <r>
      <rPr>
        <rFont val="Roboto"/>
        <i/>
        <color theme="1"/>
        <sz val="9.0"/>
      </rPr>
      <t>With Kenzie Robichaud</t>
    </r>
  </si>
  <si>
    <r>
      <rPr>
        <rFont val="Roboto"/>
        <color theme="1"/>
      </rPr>
      <t xml:space="preserve">138
</t>
    </r>
    <r>
      <rPr>
        <rFont val="Roboto"/>
        <i/>
        <color theme="1"/>
        <sz val="9.0"/>
      </rPr>
      <t>(2 sessions)</t>
    </r>
  </si>
  <si>
    <t>Music - Folk-Pop</t>
  </si>
  <si>
    <t>Rose Cousins</t>
  </si>
  <si>
    <t>Vulgar (Pantera Tribute)
Bombtrack (Rage Against The Machine Tribute)
Mr Jack (System of a Down Tribute)</t>
  </si>
  <si>
    <t>Igloo Beverage Room</t>
  </si>
  <si>
    <t>Music - Indie Rock</t>
  </si>
  <si>
    <t>Land of Talk
Marlaena Moore</t>
  </si>
  <si>
    <t>The Caveau</t>
  </si>
  <si>
    <t>Xaon
Omnivide
Vortex</t>
  </si>
  <si>
    <t>Crushed Ice</t>
  </si>
  <si>
    <r>
      <rPr>
        <rFont val="Roboto"/>
        <color theme="1"/>
      </rPr>
      <t xml:space="preserve">Drawing
</t>
    </r>
    <r>
      <rPr>
        <rFont val="Roboto"/>
        <i/>
        <color theme="1"/>
        <sz val="9.0"/>
      </rPr>
      <t>With Jessie Babin</t>
    </r>
  </si>
  <si>
    <r>
      <rPr>
        <rFont val="Roboto"/>
        <color theme="1"/>
      </rPr>
      <t xml:space="preserve">$138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</si>
  <si>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Community - Workshop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</si>
  <si>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Sewing Workshop
</t>
    </r>
    <r>
      <rPr>
        <rFont val="Roboto"/>
        <i/>
        <color theme="1"/>
        <sz val="9.0"/>
      </rPr>
      <t>With Guylaine Joly</t>
    </r>
  </si>
  <si>
    <r>
      <rPr>
        <rFont val="Roboto"/>
        <color theme="1"/>
      </rPr>
      <t xml:space="preserve">$276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</si>
  <si>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Mask Making
</t>
    </r>
    <r>
      <rPr>
        <rFont val="Roboto"/>
        <i/>
        <color theme="1"/>
        <sz val="9.0"/>
      </rPr>
      <t>With Elise</t>
    </r>
  </si>
  <si>
    <t>Music - Roller Disco</t>
  </si>
  <si>
    <t>Sunshine Rollers - Roller Disco</t>
  </si>
  <si>
    <t>Website</t>
  </si>
  <si>
    <t>Tri-City Tide vs Tri-State Admirals</t>
  </si>
  <si>
    <t>Brent Butt</t>
  </si>
  <si>
    <t>Music - Indie Sleaze</t>
  </si>
  <si>
    <t>Indie Sleaze Night 6 w/ DJ Dicette</t>
  </si>
  <si>
    <t>$8-$10</t>
  </si>
  <si>
    <t>Music - Disco</t>
  </si>
  <si>
    <r>
      <rPr>
        <rFont val="Roboto"/>
        <color theme="1"/>
      </rPr>
      <t xml:space="preserve">Studio54 Revisited
</t>
    </r>
    <r>
      <rPr>
        <rFont val="Roboto"/>
        <i/>
        <color theme="1"/>
        <sz val="9.0"/>
      </rPr>
      <t>Presented by Partyfx</t>
    </r>
  </si>
  <si>
    <t>Holy Whale Beer Hall</t>
  </si>
  <si>
    <t>$39-$44</t>
  </si>
  <si>
    <t>Off The Record</t>
  </si>
  <si>
    <r>
      <rPr>
        <rFont val="Roboto"/>
        <color theme="1"/>
      </rPr>
      <t xml:space="preserve">Studio54 Future Edition
</t>
    </r>
    <r>
      <rPr>
        <rFont val="Roboto"/>
        <i/>
        <color theme="1"/>
        <sz val="9.0"/>
      </rPr>
      <t>Presented by Partyfx</t>
    </r>
  </si>
  <si>
    <r>
      <rPr>
        <rFont val="Roboto"/>
        <color theme="1"/>
      </rPr>
      <t xml:space="preserve">Playoffs RD #2 GM #6: Moncton Wildcats vs Baie-Comeau Drakkar
</t>
    </r>
    <r>
      <rPr>
        <rFont val="Roboto"/>
        <i/>
        <color theme="1"/>
        <sz val="9.0"/>
      </rPr>
      <t>* If needed</t>
    </r>
  </si>
  <si>
    <r>
      <rPr>
        <rFont val="Roboto"/>
        <color theme="1"/>
      </rPr>
      <t xml:space="preserve">Playoffs RD #2 GM #7: Moncton Wildcats vs Baie-Comeau Drakkar
</t>
    </r>
    <r>
      <rPr>
        <rFont val="Roboto"/>
        <i/>
        <color theme="1"/>
        <sz val="9.0"/>
      </rPr>
      <t>* If needed</t>
    </r>
  </si>
  <si>
    <r>
      <rPr>
        <rFont val="Roboto"/>
        <color theme="1"/>
      </rPr>
      <t xml:space="preserve">Wood Sculpture
</t>
    </r>
    <r>
      <rPr>
        <rFont val="Roboto"/>
        <i/>
        <color theme="1"/>
        <sz val="9.0"/>
      </rPr>
      <t>With André Lapointe</t>
    </r>
  </si>
  <si>
    <r>
      <rPr>
        <rFont val="Roboto"/>
        <color theme="1"/>
      </rPr>
      <t xml:space="preserve">$690
</t>
    </r>
    <r>
      <rPr>
        <rFont val="Roboto"/>
        <i/>
        <color theme="1"/>
        <sz val="9.0"/>
      </rPr>
      <t>(18 sessions)</t>
    </r>
  </si>
  <si>
    <r>
      <rPr>
        <rFont val="Roboto"/>
        <color theme="1"/>
      </rPr>
      <t xml:space="preserve">Comedy - Improv </t>
    </r>
    <r>
      <rPr>
        <rFont val="Courier New"/>
        <color theme="1"/>
        <sz val="9.0"/>
      </rPr>
      <t>[FR]</t>
    </r>
  </si>
  <si>
    <t>Lisa Baker</t>
  </si>
  <si>
    <t>Cheers Beverage Room</t>
  </si>
  <si>
    <t>Carroll Baker - "One Final Tour"</t>
  </si>
  <si>
    <t>Écarlate</t>
  </si>
  <si>
    <t>Festival - Literary</t>
  </si>
  <si>
    <t>Frye Festival - Frye Trivia</t>
  </si>
  <si>
    <t>Tire Shack Brewing Company</t>
  </si>
  <si>
    <t>Deuce's Wild</t>
  </si>
  <si>
    <t>Music - Rock</t>
  </si>
  <si>
    <t>Rockin 4 Dollars</t>
  </si>
  <si>
    <t>Exhibition - Car</t>
  </si>
  <si>
    <t>Radical Speed Sport</t>
  </si>
  <si>
    <t>Frye Festival - Official Opening</t>
  </si>
  <si>
    <r>
      <rPr>
        <rFont val="Roboto"/>
        <color theme="1"/>
      </rPr>
      <t xml:space="preserve">Mugs &amp; Merlot
</t>
    </r>
    <r>
      <rPr>
        <rFont val="Roboto"/>
        <i/>
        <color theme="1"/>
        <sz val="9.0"/>
      </rPr>
      <t>With Kenzie Robichaud</t>
    </r>
  </si>
  <si>
    <r>
      <rPr>
        <rFont val="Roboto"/>
        <color theme="1"/>
      </rPr>
      <t xml:space="preserve">138
</t>
    </r>
    <r>
      <rPr>
        <rFont val="Roboto"/>
        <i/>
        <color theme="1"/>
        <sz val="9.0"/>
      </rPr>
      <t>(2 sessions)</t>
    </r>
  </si>
  <si>
    <t>Dance - Ballet</t>
  </si>
  <si>
    <r>
      <rPr>
        <rFont val="Roboto"/>
        <color theme="1"/>
      </rPr>
      <t xml:space="preserve">Sleeping Beauty
</t>
    </r>
    <r>
      <rPr>
        <rFont val="Roboto"/>
        <i/>
        <color theme="1"/>
        <sz val="9.0"/>
      </rPr>
      <t>Ballet Jörgen</t>
    </r>
  </si>
  <si>
    <r>
      <rPr>
        <rFont val="Roboto"/>
        <color theme="1"/>
      </rPr>
      <t xml:space="preserve">Chicago, the Musical
</t>
    </r>
    <r>
      <rPr>
        <rFont val="Roboto"/>
        <i/>
        <color theme="1"/>
        <sz val="9.0"/>
      </rPr>
      <t>Presented by Broadway in Moncton</t>
    </r>
  </si>
  <si>
    <t>$76-$88</t>
  </si>
  <si>
    <t>Theatre</t>
  </si>
  <si>
    <t>Clue</t>
  </si>
  <si>
    <t>Frye Festival - Frye Fever</t>
  </si>
  <si>
    <t>Andrew Moore Trio
Honey Gut
Hot Tomales</t>
  </si>
  <si>
    <t>Big Bad Party Band</t>
  </si>
  <si>
    <t>BA Johnston
Which Witch is Which
Six Gun Smoke</t>
  </si>
  <si>
    <r>
      <rPr>
        <rFont val="Roboto"/>
        <color theme="1"/>
      </rPr>
      <t xml:space="preserve">Drawing
</t>
    </r>
    <r>
      <rPr>
        <rFont val="Roboto"/>
        <i/>
        <color theme="1"/>
        <sz val="9.0"/>
      </rPr>
      <t>With Jessie Babin</t>
    </r>
  </si>
  <si>
    <r>
      <rPr>
        <rFont val="Roboto"/>
        <color theme="1"/>
      </rPr>
      <t xml:space="preserve">$138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</si>
  <si>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Community - Workshop </t>
    </r>
    <r>
      <rPr>
        <rFont val="Courier New"/>
        <color theme="1"/>
        <sz val="9.0"/>
      </rPr>
      <t>[FR]</t>
    </r>
  </si>
  <si>
    <r>
      <rPr>
        <rFont val="Roboto"/>
        <color theme="1"/>
      </rPr>
      <t xml:space="preserve">Sewing Workshop
</t>
    </r>
    <r>
      <rPr>
        <rFont val="Roboto"/>
        <i/>
        <color theme="1"/>
        <sz val="9.0"/>
      </rPr>
      <t>With Guylaine Joly</t>
    </r>
  </si>
  <si>
    <r>
      <rPr>
        <rFont val="Roboto"/>
        <color theme="1"/>
      </rPr>
      <t xml:space="preserve">$276
</t>
    </r>
    <r>
      <rPr>
        <rFont val="Roboto"/>
        <i/>
        <color theme="1"/>
        <sz val="9.0"/>
      </rPr>
      <t>(4 sessions)</t>
    </r>
  </si>
  <si>
    <r>
      <rPr>
        <rFont val="Roboto"/>
        <color theme="1"/>
      </rPr>
      <t xml:space="preserve">Tote Bag Creation Workshop
</t>
    </r>
    <r>
      <rPr>
        <rFont val="Roboto"/>
        <i/>
        <color theme="1"/>
        <sz val="9.0"/>
      </rPr>
      <t>With Heba Fouad Aly</t>
    </r>
  </si>
  <si>
    <t>Frye Festival - Déchirures et enracinement</t>
  </si>
  <si>
    <r>
      <rPr>
        <rFont val="Roboto"/>
        <color theme="1"/>
      </rPr>
      <t xml:space="preserve">Chicago, the Musical
</t>
    </r>
    <r>
      <rPr>
        <rFont val="Roboto"/>
        <i/>
        <color theme="1"/>
        <sz val="9.0"/>
      </rPr>
      <t>Presented by Broadway in Moncton</t>
    </r>
  </si>
  <si>
    <t>Frye Festival - The Paris Express</t>
  </si>
  <si>
    <t>Frye Festival - In Conversation with Atlantic Arab Authors</t>
  </si>
  <si>
    <t>Moncton Public Library</t>
  </si>
  <si>
    <t>Frye Festival - Après-coup(s)</t>
  </si>
  <si>
    <t>Frye Festival - Beyond the Book</t>
  </si>
  <si>
    <t>Tri-City Tide vs Albany Patroons</t>
  </si>
  <si>
    <r>
      <rPr>
        <rFont val="Roboto"/>
        <color theme="1"/>
      </rPr>
      <t xml:space="preserve">Chicago, the Musical
</t>
    </r>
    <r>
      <rPr>
        <rFont val="Roboto"/>
        <i/>
        <color theme="1"/>
        <sz val="9.0"/>
      </rPr>
      <t>Presented by Broadway in Moncton</t>
    </r>
  </si>
  <si>
    <t>Heksenketel Presents: A Tribute to The Tragically Hip's Road Apples</t>
  </si>
  <si>
    <t>Klarka Weinwurm
Ghostown Belle
The Merci Buckets</t>
  </si>
  <si>
    <t>School's Out w/ Station 11 and DJ Pelly</t>
  </si>
  <si>
    <t>$10-$20</t>
  </si>
  <si>
    <t>Frye Festival - KidsFest</t>
  </si>
  <si>
    <t>Frye Festival - When Nature Goes Wild</t>
  </si>
  <si>
    <t>Frye Festival - Who Do You Think You Are?</t>
  </si>
  <si>
    <r>
      <rPr>
        <rFont val="Roboto"/>
        <color theme="1"/>
      </rPr>
      <t xml:space="preserve">Chicago, the Musical
</t>
    </r>
    <r>
      <rPr>
        <rFont val="Roboto"/>
        <i/>
        <color theme="1"/>
        <sz val="9.0"/>
      </rPr>
      <t>Presented by Broadway in Moncton</t>
    </r>
  </si>
  <si>
    <t>Frye Festival - Tea Time</t>
  </si>
  <si>
    <t>Frye Festival - Whispers of Love: A Tribute to Nizar Qabbani</t>
  </si>
  <si>
    <t>The Story of Taylor Swift</t>
  </si>
  <si>
    <t>$62-$97</t>
  </si>
  <si>
    <r>
      <rPr>
        <rFont val="Roboto"/>
        <color theme="1"/>
      </rPr>
      <t xml:space="preserve">Chicago, the Musical
</t>
    </r>
    <r>
      <rPr>
        <rFont val="Roboto"/>
        <i/>
        <color theme="1"/>
        <sz val="9.0"/>
      </rPr>
      <t>Presented by Broadway in Moncton</t>
    </r>
  </si>
  <si>
    <t>Frye Festival - Lunch littéraire: Rue Duplessis</t>
  </si>
  <si>
    <t>Les Brumes du Coude</t>
  </si>
  <si>
    <t>Frye Festival - La Louisiane</t>
  </si>
  <si>
    <t>Frye Festival - De Préférence la Nuit : Spectacle littéraire</t>
  </si>
  <si>
    <t>Frye Festival - Literary Lunch: Full of Myself</t>
  </si>
  <si>
    <t>Frye Festival - Lingering Threads</t>
  </si>
  <si>
    <t>Frye Festival - Draguer le fond</t>
  </si>
  <si>
    <t>Quatuor Élysée</t>
  </si>
  <si>
    <t>Frye Festival - Conférence Maillet-Frye : Écrire (dans) la déchirure</t>
  </si>
  <si>
    <t>Pavillon Léopold-Taillon</t>
  </si>
  <si>
    <t>Frye Festival - Séance "Écrire en contexte plurilingue"</t>
  </si>
  <si>
    <t>Frye Festival - Lunch littéraire : Petit crayon pour faire mine</t>
  </si>
  <si>
    <t>Frye Festival - Session "Community and Literature Outside the Book"</t>
  </si>
  <si>
    <t>Frye Festival - Literary Translation Workshop</t>
  </si>
  <si>
    <t>Frye Festival - Goose Lane Editions presents: For the Love of the Story</t>
  </si>
  <si>
    <r>
      <rPr>
        <rFont val="Roboto"/>
        <color theme="1"/>
      </rPr>
      <t xml:space="preserve">Wood Sculpture
</t>
    </r>
    <r>
      <rPr>
        <rFont val="Roboto"/>
        <i/>
        <color theme="1"/>
        <sz val="9.0"/>
      </rPr>
      <t>With André Lapointe</t>
    </r>
  </si>
  <si>
    <r>
      <rPr>
        <rFont val="Roboto"/>
        <color theme="1"/>
      </rPr>
      <t xml:space="preserve">$690
</t>
    </r>
    <r>
      <rPr>
        <rFont val="Roboto"/>
        <i/>
        <color theme="1"/>
        <sz val="9.0"/>
      </rPr>
      <t>(18 sessions)</t>
    </r>
  </si>
  <si>
    <r>
      <rPr>
        <rFont val="Roboto"/>
        <color theme="1"/>
      </rPr>
      <t xml:space="preserve">Comedy - Improv </t>
    </r>
    <r>
      <rPr>
        <rFont val="Courier New"/>
        <color theme="1"/>
        <sz val="9.0"/>
      </rPr>
      <t>[FR]</t>
    </r>
  </si>
  <si>
    <t>Frye Festival - Lancement printanier des Éditions Perce-Neige</t>
  </si>
  <si>
    <r>
      <rPr>
        <rFont val="Roboto"/>
        <color theme="1"/>
      </rPr>
      <t xml:space="preserve">Fruit Machine
</t>
    </r>
    <r>
      <rPr>
        <rFont val="Roboto"/>
        <i/>
        <color theme="1"/>
        <sz val="9.0"/>
      </rPr>
      <t>Presented by Solo Chicken Productions</t>
    </r>
  </si>
  <si>
    <t>Pouya
Kxllswxtch
Fat Nick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</si>
</sst>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d&quot;, &quot;yyyy"/>
    <numFmt numFmtId="165" formatCode="&quot;$&quot;#,##0"/>
    <numFmt numFmtId="166" formatCode="h:mm am/pm"/>
  </numFmts>
  <fonts count="9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u/>
      <color rgb="FF0000FF"/>
      <name val="Roboto"/>
    </font>
    <font>
      <u/>
      <color rgb="FF0000FF"/>
      <name val="Roboto"/>
    </font>
    <font>
      <color theme="1"/>
      <name val="Arial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164" xfId="0" applyAlignment="1" applyFill="1" applyFont="1" applyNumberFormat="1">
      <alignment horizontal="left" vertical="top"/>
    </xf>
    <xf borderId="0" fillId="3" fontId="2" numFmtId="0" xfId="0" applyAlignment="1" applyFont="1">
      <alignment horizontal="left" vertical="top"/>
    </xf>
    <xf borderId="0" fillId="3" fontId="2" numFmtId="0" xfId="0" applyAlignment="1" applyFont="1">
      <alignment vertical="top"/>
    </xf>
    <xf borderId="0" fillId="3" fontId="2" numFmtId="165" xfId="0" applyAlignment="1" applyFont="1" applyNumberFormat="1">
      <alignment horizontal="center" vertical="top"/>
    </xf>
    <xf borderId="0" fillId="3" fontId="3" numFmtId="0" xfId="0" applyAlignment="1" applyFont="1">
      <alignment horizontal="center" vertical="top"/>
    </xf>
    <xf borderId="0" fillId="4" fontId="2" numFmtId="164" xfId="0" applyAlignment="1" applyFill="1" applyFont="1" applyNumberFormat="1">
      <alignment horizontal="left" vertical="top"/>
    </xf>
    <xf borderId="0" fillId="4" fontId="2" numFmtId="166" xfId="0" applyAlignment="1" applyFont="1" applyNumberFormat="1">
      <alignment horizontal="left" vertical="top"/>
    </xf>
    <xf borderId="0" fillId="4" fontId="2" numFmtId="0" xfId="0" applyAlignment="1" applyFont="1">
      <alignment vertical="top"/>
    </xf>
    <xf borderId="0" fillId="4" fontId="2" numFmtId="165" xfId="0" applyAlignment="1" applyFont="1" applyNumberFormat="1">
      <alignment horizontal="center" vertical="top"/>
    </xf>
    <xf borderId="0" fillId="4" fontId="4" numFmtId="0" xfId="0" applyAlignment="1" applyFont="1">
      <alignment horizontal="center" vertical="top"/>
    </xf>
    <xf borderId="0" fillId="3" fontId="2" numFmtId="166" xfId="0" applyAlignment="1" applyFont="1" applyNumberFormat="1">
      <alignment horizontal="left" vertical="top"/>
    </xf>
    <xf borderId="0" fillId="4" fontId="2" numFmtId="0" xfId="0" applyAlignment="1" applyFont="1">
      <alignment horizontal="left" vertical="top"/>
    </xf>
    <xf borderId="0" fillId="4" fontId="2" numFmtId="0" xfId="0" applyAlignment="1" applyFont="1">
      <alignment horizontal="center" vertical="top"/>
    </xf>
    <xf borderId="0" fillId="3" fontId="5" numFmtId="0" xfId="0" applyAlignment="1" applyFont="1">
      <alignment vertical="top"/>
    </xf>
    <xf borderId="0" fillId="4" fontId="2" numFmtId="0" xfId="0" applyAlignment="1" applyFont="1">
      <alignment shrinkToFit="0" vertical="top" wrapText="1"/>
    </xf>
    <xf borderId="0" fillId="4" fontId="5" numFmtId="0" xfId="0" applyAlignment="1" applyFont="1">
      <alignment vertical="top"/>
    </xf>
    <xf borderId="0" fillId="3" fontId="2" numFmtId="0" xfId="0" applyAlignment="1" applyFont="1">
      <alignment shrinkToFit="0" vertical="top" wrapText="1"/>
    </xf>
    <xf borderId="0" fillId="3" fontId="2" numFmtId="0" xfId="0" applyAlignment="1" applyFont="1">
      <alignment horizontal="center" vertical="top"/>
    </xf>
    <xf borderId="0" fillId="3" fontId="2" numFmtId="165" xfId="0" applyAlignment="1" applyFont="1" applyNumberFormat="1">
      <alignment horizontal="center" shrinkToFit="0" vertical="top" wrapText="1"/>
    </xf>
    <xf borderId="0" fillId="3" fontId="6" numFmtId="0" xfId="0" applyAlignment="1" applyFont="1">
      <alignment horizontal="center" vertical="top"/>
    </xf>
    <xf borderId="0" fillId="4" fontId="2" numFmtId="165" xfId="0" applyAlignment="1" applyFont="1" applyNumberFormat="1">
      <alignment horizontal="center" shrinkToFit="0" vertical="top" wrapText="1"/>
    </xf>
    <xf borderId="0" fillId="4" fontId="7" numFmtId="0" xfId="0" applyAlignment="1" applyFont="1">
      <alignment horizontal="center" vertical="top"/>
    </xf>
    <xf borderId="0" fillId="4" fontId="8" numFmtId="164" xfId="0" applyAlignment="1" applyFont="1" applyNumberFormat="1">
      <alignment horizontal="left" vertical="top"/>
    </xf>
  </cellXfs>
  <cellStyles count="1">
    <cellStyle xfId="0" name="Normal" builtinId="0"/>
  </cellStyles>
  <dxfs count="15">
    <dxf>
      <font>
        <b/>
      </font>
      <fill>
        <patternFill patternType="solid">
          <fgColor rgb="FFFFFF00"/>
          <bgColor rgb="FFFFFF00"/>
        </patternFill>
      </fill>
      <border/>
    </dxf>
    <dxf>
      <font>
        <strike/>
        <color rgb="FFB7B7B7"/>
      </font>
      <fill>
        <patternFill patternType="solid">
          <fgColor rgb="FFF3F3F3"/>
          <bgColor rgb="FFF3F3F3"/>
        </patternFill>
      </fill>
      <border/>
    </dxf>
    <dxf>
      <font>
        <b/>
        <i/>
      </font>
      <fill>
        <patternFill patternType="solid">
          <fgColor rgb="FFD9EAD3"/>
          <bgColor rgb="FFD9EAD3"/>
        </patternFill>
      </fill>
      <border/>
    </dxf>
    <dxf>
      <font>
        <b/>
        <color rgb="FF073763"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  <color rgb="FF5B0F00"/>
      </font>
      <fill>
        <patternFill patternType="solid">
          <fgColor rgb="FFE6B8AF"/>
          <bgColor rgb="FFE6B8AF"/>
        </patternFill>
      </fill>
      <border/>
    </dxf>
    <dxf>
      <font>
        <b/>
        <color rgb="FF660000"/>
      </font>
      <fill>
        <patternFill patternType="solid">
          <fgColor rgb="FFF4CCCC"/>
          <bgColor rgb="FFF4CCCC"/>
        </patternFill>
      </fill>
      <border/>
    </dxf>
    <dxf>
      <font>
        <b/>
        <color rgb="FF783F04"/>
      </font>
      <fill>
        <patternFill patternType="solid">
          <fgColor rgb="FFFCE5CD"/>
          <bgColor rgb="FFFCE5CD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5B0F00"/>
      </font>
      <fill>
        <patternFill patternType="solid">
          <fgColor rgb="FFE6B8AF"/>
          <bgColor rgb="FFE6B8AF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i/>
      </font>
      <fill>
        <patternFill patternType="none"/>
      </fill>
      <border/>
    </dxf>
    <dxf>
      <font>
        <color rgb="FF07376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nshinerollers.ca/pages/rollerdisco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3" width="31.38"/>
    <col customWidth="1" min="4" max="4" width="56.38"/>
    <col customWidth="1" min="5" max="5" width="31.38"/>
    <col customWidth="1" min="6" max="7" width="10.13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>
      <c r="A2" s="2">
        <v>45748.0</v>
      </c>
      <c r="B2" s="3"/>
      <c r="C2" s="4" t="s">
        <v>5</v>
      </c>
      <c r="D2" s="4" t="s">
        <v>6</v>
      </c>
      <c r="E2" s="4" t="s">
        <v>7</v>
      </c>
      <c r="F2" s="5"/>
      <c r="G2" s="6" t="str">
        <f>HYPERLINK("https://feastatlantic.com/", "Website")</f>
        <v>Website</v>
      </c>
    </row>
    <row r="3">
      <c r="A3" s="7">
        <v>45748.0</v>
      </c>
      <c r="B3" s="8">
        <v>0.8125</v>
      </c>
      <c r="C3" s="9" t="s">
        <v>8</v>
      </c>
      <c r="D3" s="9" t="s">
        <v>9</v>
      </c>
      <c r="E3" s="9" t="s">
        <v>10</v>
      </c>
      <c r="F3" s="10">
        <v>10.0</v>
      </c>
      <c r="G3" s="11" t="str">
        <f>HYPERLINK("https://www.facebook.com/farouteast/posts/1149877583505922", "Facebook")</f>
        <v>Facebook</v>
      </c>
    </row>
    <row r="4">
      <c r="A4" s="2">
        <v>45748.0</v>
      </c>
      <c r="B4" s="12">
        <v>0.8125</v>
      </c>
      <c r="C4" s="4" t="s">
        <v>11</v>
      </c>
      <c r="D4" s="4" t="s">
        <v>12</v>
      </c>
      <c r="E4" s="4" t="s">
        <v>13</v>
      </c>
      <c r="F4" s="5">
        <v>37.0</v>
      </c>
      <c r="G4" s="6" t="str">
        <f>HYPERLINK("https://escaouette.tuxedobillet.com/main/parler-mal-un-docu-fiction-theatral-sur-linsecurite-linguistique/20250401193000", "Tickets")</f>
        <v>Tickets</v>
      </c>
    </row>
    <row r="5">
      <c r="A5" s="7">
        <v>45749.0</v>
      </c>
      <c r="B5" s="13"/>
      <c r="C5" s="9" t="s">
        <v>5</v>
      </c>
      <c r="D5" s="9" t="s">
        <v>6</v>
      </c>
      <c r="E5" s="9" t="s">
        <v>7</v>
      </c>
      <c r="F5" s="10"/>
      <c r="G5" s="11" t="str">
        <f>HYPERLINK("https://feastatlantic.com/", "Website")</f>
        <v>Website</v>
      </c>
    </row>
    <row r="6">
      <c r="A6" s="2">
        <v>45749.0</v>
      </c>
      <c r="B6" s="12">
        <v>0.75</v>
      </c>
      <c r="C6" s="4" t="s">
        <v>14</v>
      </c>
      <c r="D6" s="4" t="s">
        <v>15</v>
      </c>
      <c r="E6" s="4" t="s">
        <v>16</v>
      </c>
      <c r="F6" s="5" t="s">
        <v>17</v>
      </c>
      <c r="G6" s="6" t="str">
        <f>HYPERLINK("https://centredesartsdieppe.tuxedobillet.com/main/sculpture-sur-bois/20250129180000", "Tickets")</f>
        <v>Tickets</v>
      </c>
    </row>
    <row r="7">
      <c r="A7" s="7">
        <v>45749.0</v>
      </c>
      <c r="B7" s="8">
        <v>0.7916666666666666</v>
      </c>
      <c r="C7" s="9" t="s">
        <v>18</v>
      </c>
      <c r="D7" s="9" t="s">
        <v>19</v>
      </c>
      <c r="E7" s="9" t="s">
        <v>16</v>
      </c>
      <c r="F7" s="10">
        <v>23.0</v>
      </c>
      <c r="G7" s="11" t="str">
        <f>HYPERLINK("https://centredesartsdieppe.ca/en/programming/show/lio-saison-10", "Website")</f>
        <v>Website</v>
      </c>
    </row>
    <row r="8">
      <c r="A8" s="2">
        <v>45749.0</v>
      </c>
      <c r="B8" s="12">
        <v>0.7916666666666666</v>
      </c>
      <c r="C8" s="4" t="s">
        <v>20</v>
      </c>
      <c r="D8" s="4" t="s">
        <v>21</v>
      </c>
      <c r="E8" s="4" t="s">
        <v>22</v>
      </c>
      <c r="F8" s="5" t="s">
        <v>23</v>
      </c>
      <c r="G8" s="6" t="str">
        <f>HYPERLINK("https://riverviewlionsclub.ca/bingo/", "Website")</f>
        <v>Website</v>
      </c>
    </row>
    <row r="9">
      <c r="A9" s="7">
        <v>45749.0</v>
      </c>
      <c r="B9" s="8">
        <v>0.7916666666666666</v>
      </c>
      <c r="C9" s="9" t="s">
        <v>24</v>
      </c>
      <c r="D9" s="9" t="s">
        <v>25</v>
      </c>
      <c r="E9" s="9" t="s">
        <v>26</v>
      </c>
      <c r="F9" s="10">
        <v>7.0</v>
      </c>
      <c r="G9" s="11" t="str">
        <f>HYPERLINK("https://www.royalcanadianlegionbranch6moncton.com/", "Website")</f>
        <v>Website</v>
      </c>
    </row>
    <row r="10">
      <c r="A10" s="2">
        <v>45749.0</v>
      </c>
      <c r="B10" s="12">
        <v>0.8125</v>
      </c>
      <c r="C10" s="4" t="s">
        <v>27</v>
      </c>
      <c r="D10" s="4" t="s">
        <v>28</v>
      </c>
      <c r="E10" s="4" t="s">
        <v>29</v>
      </c>
      <c r="F10" s="5">
        <v>25.0</v>
      </c>
      <c r="G10" s="6" t="str">
        <f>HYPERLINK("https://www.tickettailor.com/events/elmcitystringquartet/1371366", "Tickets")</f>
        <v>Tickets</v>
      </c>
    </row>
    <row r="11">
      <c r="A11" s="7">
        <v>45749.0</v>
      </c>
      <c r="B11" s="8">
        <v>0.8125</v>
      </c>
      <c r="C11" s="9" t="s">
        <v>8</v>
      </c>
      <c r="D11" s="9" t="s">
        <v>9</v>
      </c>
      <c r="E11" s="9" t="s">
        <v>10</v>
      </c>
      <c r="F11" s="10">
        <v>10.0</v>
      </c>
      <c r="G11" s="11" t="str">
        <f>HYPERLINK("https://www.facebook.com/farouteast/posts/1149877583505922", "Facebook")</f>
        <v>Facebook</v>
      </c>
    </row>
    <row r="12">
      <c r="A12" s="2">
        <v>45749.0</v>
      </c>
      <c r="B12" s="12">
        <v>0.8125</v>
      </c>
      <c r="C12" s="4" t="s">
        <v>30</v>
      </c>
      <c r="D12" s="4" t="s">
        <v>31</v>
      </c>
      <c r="E12" s="4" t="s">
        <v>13</v>
      </c>
      <c r="F12" s="5">
        <v>37.0</v>
      </c>
      <c r="G12" s="6" t="str">
        <f>HYPERLINK("https://escaouette.tuxedobillet.com/main/parler-mal-un-docu-fiction-theatral-sur-linsecurite-linguistique/20250402193000", "Tickets")</f>
        <v>Tickets</v>
      </c>
    </row>
    <row r="13">
      <c r="A13" s="7">
        <v>45749.0</v>
      </c>
      <c r="B13" s="8">
        <v>0.8541666666666666</v>
      </c>
      <c r="C13" s="9" t="s">
        <v>32</v>
      </c>
      <c r="D13" s="9" t="s">
        <v>33</v>
      </c>
      <c r="E13" s="9" t="s">
        <v>34</v>
      </c>
      <c r="F13" s="10" t="s">
        <v>35</v>
      </c>
      <c r="G13" s="14"/>
    </row>
    <row r="14">
      <c r="A14" s="2">
        <v>45750.0</v>
      </c>
      <c r="B14" s="3"/>
      <c r="C14" s="4" t="s">
        <v>5</v>
      </c>
      <c r="D14" s="4" t="s">
        <v>6</v>
      </c>
      <c r="E14" s="4" t="s">
        <v>7</v>
      </c>
      <c r="F14" s="5"/>
      <c r="G14" s="6" t="str">
        <f>HYPERLINK("https://feastatlantic.com/", "Website")</f>
        <v>Website</v>
      </c>
    </row>
    <row r="15">
      <c r="A15" s="7">
        <v>45750.0</v>
      </c>
      <c r="B15" s="8">
        <v>0.8125</v>
      </c>
      <c r="C15" s="9" t="s">
        <v>36</v>
      </c>
      <c r="D15" s="9" t="s">
        <v>37</v>
      </c>
      <c r="E15" s="9" t="s">
        <v>13</v>
      </c>
      <c r="F15" s="10">
        <v>37.0</v>
      </c>
      <c r="G15" s="11" t="str">
        <f>HYPERLINK("https://escaouette.tuxedobillet.com/main/parler-mal-un-docu-fiction-theatral-sur-linsecurite-linguistique/20250403193000", "Tickets")</f>
        <v>Tickets</v>
      </c>
    </row>
    <row r="16">
      <c r="A16" s="2">
        <v>45750.0</v>
      </c>
      <c r="B16" s="12">
        <v>0.8125</v>
      </c>
      <c r="C16" s="4" t="s">
        <v>38</v>
      </c>
      <c r="D16" s="4" t="s">
        <v>39</v>
      </c>
      <c r="E16" s="4" t="s">
        <v>34</v>
      </c>
      <c r="F16" s="5">
        <v>20.0</v>
      </c>
      <c r="G16" s="6" t="str">
        <f>HYPERLINK("https://www.facebook.com/share/16FsqreK8f/", "Facebook")</f>
        <v>Facebook</v>
      </c>
    </row>
    <row r="17">
      <c r="A17" s="7">
        <v>45750.0</v>
      </c>
      <c r="B17" s="8">
        <v>0.875</v>
      </c>
      <c r="C17" s="9" t="s">
        <v>27</v>
      </c>
      <c r="D17" s="9" t="s">
        <v>40</v>
      </c>
      <c r="E17" s="9" t="s">
        <v>41</v>
      </c>
      <c r="F17" s="10" t="s">
        <v>35</v>
      </c>
      <c r="G17" s="11" t="str">
        <f>HYPERLINK("https://greatcanadian.com/event/hub-city-pub-free-live-music/", "Website")</f>
        <v>Website</v>
      </c>
    </row>
    <row r="18">
      <c r="A18" s="2">
        <v>45751.0</v>
      </c>
      <c r="B18" s="3"/>
      <c r="C18" s="4" t="s">
        <v>5</v>
      </c>
      <c r="D18" s="4" t="s">
        <v>6</v>
      </c>
      <c r="E18" s="4" t="s">
        <v>7</v>
      </c>
      <c r="F18" s="5"/>
      <c r="G18" s="6" t="str">
        <f>HYPERLINK("https://feastatlantic.com/", "Website")</f>
        <v>Website</v>
      </c>
    </row>
    <row r="19">
      <c r="A19" s="7">
        <v>45751.0</v>
      </c>
      <c r="B19" s="8">
        <v>0.4166666666666667</v>
      </c>
      <c r="C19" s="9" t="s">
        <v>42</v>
      </c>
      <c r="D19" s="9" t="s">
        <v>43</v>
      </c>
      <c r="E19" s="9" t="s">
        <v>44</v>
      </c>
      <c r="F19" s="10">
        <v>14.0</v>
      </c>
      <c r="G19" s="11" t="str">
        <f>HYPERLINK("http://monctonbss.ca/", "Website")</f>
        <v>Website</v>
      </c>
    </row>
    <row r="20">
      <c r="A20" s="2">
        <v>45751.0</v>
      </c>
      <c r="B20" s="12">
        <v>0.7708333333333334</v>
      </c>
      <c r="C20" s="4" t="s">
        <v>45</v>
      </c>
      <c r="D20" s="4" t="s">
        <v>46</v>
      </c>
      <c r="E20" s="4" t="s">
        <v>47</v>
      </c>
      <c r="F20" s="5" t="s">
        <v>48</v>
      </c>
      <c r="G20" s="6" t="str">
        <f>HYPERLINK("https://www.mcsweeneytheatreco.com/", "Website")</f>
        <v>Website</v>
      </c>
    </row>
    <row r="21">
      <c r="A21" s="7">
        <v>45751.0</v>
      </c>
      <c r="B21" s="8">
        <v>0.7916666666666666</v>
      </c>
      <c r="C21" s="9" t="s">
        <v>49</v>
      </c>
      <c r="D21" s="9" t="s">
        <v>50</v>
      </c>
      <c r="E21" s="9" t="s">
        <v>51</v>
      </c>
      <c r="F21" s="10">
        <v>24.0</v>
      </c>
      <c r="G21" s="11" t="str">
        <f>HYPERLINK("https://monumentlefebvre.tuxedobillet.com/main/clinique-beaute-discount-troupe-du-monument/20250404190000", "Popular")</f>
        <v>Popular</v>
      </c>
    </row>
    <row r="22">
      <c r="A22" s="2">
        <v>45751.0</v>
      </c>
      <c r="B22" s="12">
        <v>0.8125</v>
      </c>
      <c r="C22" s="4" t="s">
        <v>38</v>
      </c>
      <c r="D22" s="4" t="s">
        <v>52</v>
      </c>
      <c r="E22" s="4" t="s">
        <v>53</v>
      </c>
      <c r="F22" s="5">
        <v>50.0</v>
      </c>
      <c r="G22" s="6" t="str">
        <f>HYPERLINK("https://www.jumpcomedy.com/e/clone-of-clone-of-prince-rupert-3", "Tickets")</f>
        <v>Tickets</v>
      </c>
    </row>
    <row r="23">
      <c r="A23" s="7">
        <v>45751.0</v>
      </c>
      <c r="B23" s="8">
        <v>0.8333333333333334</v>
      </c>
      <c r="C23" s="9" t="s">
        <v>54</v>
      </c>
      <c r="D23" s="9" t="s">
        <v>55</v>
      </c>
      <c r="E23" s="9" t="s">
        <v>56</v>
      </c>
      <c r="F23" s="10">
        <v>33.0</v>
      </c>
      <c r="G23" s="11" t="str">
        <f>HYPERLINK("https://www.eventbrite.ca/e/the-mainlanders-album-release-party-second-night-added-tickets-1283976631669", "Popular")</f>
        <v>Popular</v>
      </c>
    </row>
    <row r="24">
      <c r="A24" s="2">
        <v>45751.0</v>
      </c>
      <c r="B24" s="12">
        <v>0.875</v>
      </c>
      <c r="C24" s="4" t="s">
        <v>57</v>
      </c>
      <c r="D24" s="4" t="s">
        <v>58</v>
      </c>
      <c r="E24" s="4" t="s">
        <v>34</v>
      </c>
      <c r="F24" s="5">
        <v>10.0</v>
      </c>
      <c r="G24" s="6" t="str">
        <f>HYPERLINK("https://www.facebook.com/events/1339890184382818/", "Facebook")</f>
        <v>Facebook</v>
      </c>
    </row>
    <row r="25">
      <c r="A25" s="7">
        <v>45751.0</v>
      </c>
      <c r="B25" s="8">
        <v>0.8958333333333334</v>
      </c>
      <c r="C25" s="9" t="s">
        <v>59</v>
      </c>
      <c r="D25" s="9" t="s">
        <v>60</v>
      </c>
      <c r="E25" s="9" t="s">
        <v>16</v>
      </c>
      <c r="F25" s="10">
        <v>60.0</v>
      </c>
      <c r="G25" s="11" t="str">
        <f>HYPERLINK("https://www.eventbrite.com/e/billets-sugar-sammy-moncton-youre-gonna-rire-2-1012951795087", "Low")</f>
        <v>Low</v>
      </c>
    </row>
    <row r="26">
      <c r="A26" s="2">
        <v>45751.0</v>
      </c>
      <c r="B26" s="12">
        <v>0.9166666666666666</v>
      </c>
      <c r="C26" s="4" t="s">
        <v>27</v>
      </c>
      <c r="D26" s="15" t="s">
        <v>61</v>
      </c>
      <c r="E26" s="4" t="s">
        <v>41</v>
      </c>
      <c r="F26" s="5" t="s">
        <v>35</v>
      </c>
      <c r="G26" s="6" t="str">
        <f>HYPERLINK("https://greatcanadian.com/event/hub-city-pub-free-live-music/", "Website")</f>
        <v>Website</v>
      </c>
    </row>
    <row r="27">
      <c r="A27" s="7">
        <v>45752.0</v>
      </c>
      <c r="B27" s="13"/>
      <c r="C27" s="9" t="s">
        <v>5</v>
      </c>
      <c r="D27" s="9" t="s">
        <v>6</v>
      </c>
      <c r="E27" s="9" t="s">
        <v>7</v>
      </c>
      <c r="F27" s="10"/>
      <c r="G27" s="11" t="str">
        <f>HYPERLINK("https://feastatlantic.com/", "Website")</f>
        <v>Website</v>
      </c>
    </row>
    <row r="28">
      <c r="A28" s="2">
        <v>45752.0</v>
      </c>
      <c r="B28" s="12">
        <v>0.375</v>
      </c>
      <c r="C28" s="4" t="s">
        <v>62</v>
      </c>
      <c r="D28" s="4" t="s">
        <v>63</v>
      </c>
      <c r="E28" s="4" t="s">
        <v>22</v>
      </c>
      <c r="F28" s="5" t="s">
        <v>35</v>
      </c>
      <c r="G28" s="6" t="str">
        <f>HYPERLINK("https://www.facebook.com/events/1299026431080152/", "Facebook")</f>
        <v>Facebook</v>
      </c>
    </row>
    <row r="29">
      <c r="A29" s="7">
        <v>45752.0</v>
      </c>
      <c r="B29" s="8">
        <v>0.4166666666666667</v>
      </c>
      <c r="C29" s="9" t="s">
        <v>14</v>
      </c>
      <c r="D29" s="9" t="s">
        <v>64</v>
      </c>
      <c r="E29" s="9" t="s">
        <v>16</v>
      </c>
      <c r="F29" s="10" t="s">
        <v>65</v>
      </c>
      <c r="G29" s="11" t="str">
        <f>HYPERLINK("https://centredesartsdieppe.tuxedobillet.com/main/dessin-avril-2025/20250405100000", "Tickets")</f>
        <v>Tickets</v>
      </c>
    </row>
    <row r="30">
      <c r="A30" s="2">
        <v>45752.0</v>
      </c>
      <c r="B30" s="12">
        <v>0.4166666666666667</v>
      </c>
      <c r="C30" s="4" t="s">
        <v>66</v>
      </c>
      <c r="D30" s="4" t="s">
        <v>67</v>
      </c>
      <c r="E30" s="4" t="s">
        <v>16</v>
      </c>
      <c r="F30" s="5" t="s">
        <v>68</v>
      </c>
      <c r="G30" s="6" t="str">
        <f>HYPERLINK("https://centredesartsdieppe.tuxedobillet.com/main/ateliers-de-couture-ados-adultes/20250329100000", "Tickets")</f>
        <v>Tickets</v>
      </c>
    </row>
    <row r="31">
      <c r="A31" s="7">
        <v>45752.0</v>
      </c>
      <c r="B31" s="8">
        <v>0.4166666666666667</v>
      </c>
      <c r="C31" s="9" t="s">
        <v>42</v>
      </c>
      <c r="D31" s="9" t="s">
        <v>43</v>
      </c>
      <c r="E31" s="9" t="s">
        <v>44</v>
      </c>
      <c r="F31" s="10">
        <v>14.0</v>
      </c>
      <c r="G31" s="11" t="str">
        <f>HYPERLINK("http://monctonbss.ca/", "Website")</f>
        <v>Website</v>
      </c>
    </row>
    <row r="32">
      <c r="A32" s="2">
        <v>45752.0</v>
      </c>
      <c r="B32" s="12">
        <v>0.7916666666666666</v>
      </c>
      <c r="C32" s="4" t="s">
        <v>69</v>
      </c>
      <c r="D32" s="4" t="s">
        <v>50</v>
      </c>
      <c r="E32" s="4" t="s">
        <v>51</v>
      </c>
      <c r="F32" s="5">
        <v>24.0</v>
      </c>
      <c r="G32" s="6" t="str">
        <f>HYPERLINK("https://monumentlefebvre.tuxedobillet.com/main/clinique-beaute-discount-troupe-du-monument/20250405190000", "Popular")</f>
        <v>Popular</v>
      </c>
    </row>
    <row r="33">
      <c r="A33" s="7">
        <v>45752.0</v>
      </c>
      <c r="B33" s="8">
        <v>0.8125</v>
      </c>
      <c r="C33" s="9" t="s">
        <v>38</v>
      </c>
      <c r="D33" s="9" t="s">
        <v>70</v>
      </c>
      <c r="E33" s="9" t="s">
        <v>53</v>
      </c>
      <c r="F33" s="10">
        <v>72.0</v>
      </c>
      <c r="G33" s="11" t="str">
        <f>HYPERLINK("https://capitol-membre.tuxedobillet.com/Membre/derek-edwards-2025/20250405193000", "Tickets")</f>
        <v>Tickets</v>
      </c>
    </row>
    <row r="34">
      <c r="A34" s="2">
        <v>45752.0</v>
      </c>
      <c r="B34" s="12">
        <v>0.8125</v>
      </c>
      <c r="C34" s="4" t="s">
        <v>71</v>
      </c>
      <c r="D34" s="4" t="s">
        <v>72</v>
      </c>
      <c r="E34" s="4" t="s">
        <v>73</v>
      </c>
      <c r="F34" s="5">
        <v>31.0</v>
      </c>
      <c r="G34" s="6" t="str">
        <f>HYPERLINK("https://capitol.tuxedobillet.com/main/kylie-fox/20250405193000", "Tickets")</f>
        <v>Tickets</v>
      </c>
    </row>
    <row r="35">
      <c r="A35" s="7">
        <v>45752.0</v>
      </c>
      <c r="B35" s="8">
        <v>0.8333333333333334</v>
      </c>
      <c r="C35" s="9" t="s">
        <v>54</v>
      </c>
      <c r="D35" s="9" t="s">
        <v>55</v>
      </c>
      <c r="E35" s="9" t="s">
        <v>56</v>
      </c>
      <c r="F35" s="10">
        <v>33.0</v>
      </c>
      <c r="G35" s="11" t="str">
        <f>HYPERLINK("https://www.eventbrite.ca/e/the-mainlanders-album-release-party-tickets-1264398432749", "Sold Out")</f>
        <v>Sold Out</v>
      </c>
    </row>
    <row r="36">
      <c r="A36" s="2">
        <v>45752.0</v>
      </c>
      <c r="B36" s="12">
        <v>0.8333333333333334</v>
      </c>
      <c r="C36" s="4" t="s">
        <v>74</v>
      </c>
      <c r="D36" s="4" t="s">
        <v>75</v>
      </c>
      <c r="E36" s="4" t="s">
        <v>34</v>
      </c>
      <c r="F36" s="5" t="s">
        <v>76</v>
      </c>
      <c r="G36" s="6" t="str">
        <f>HYPERLINK("https://www.facebook.com/events/699018862454416/", "Facebook")</f>
        <v>Facebook</v>
      </c>
    </row>
    <row r="37">
      <c r="A37" s="7">
        <v>45752.0</v>
      </c>
      <c r="B37" s="8">
        <v>0.8541666666666666</v>
      </c>
      <c r="C37" s="9" t="s">
        <v>77</v>
      </c>
      <c r="D37" s="9" t="s">
        <v>78</v>
      </c>
      <c r="E37" s="9" t="s">
        <v>79</v>
      </c>
      <c r="F37" s="10">
        <v>25.0</v>
      </c>
      <c r="G37" s="11" t="str">
        <f>HYPERLINK("https://www.tixr.com/groups/audibleentertainment/events/wannabe-spice-girls-tribute--131425", "Tickets")</f>
        <v>Tickets</v>
      </c>
    </row>
    <row r="38">
      <c r="A38" s="2">
        <v>45752.0</v>
      </c>
      <c r="B38" s="12">
        <v>0.9166666666666666</v>
      </c>
      <c r="C38" s="4" t="s">
        <v>27</v>
      </c>
      <c r="D38" s="15" t="s">
        <v>80</v>
      </c>
      <c r="E38" s="4" t="s">
        <v>41</v>
      </c>
      <c r="F38" s="5" t="s">
        <v>35</v>
      </c>
      <c r="G38" s="6" t="str">
        <f>HYPERLINK("https://greatcanadian.com/event/hub-city-pub-free-live-music/", "Website")</f>
        <v>Website</v>
      </c>
    </row>
    <row r="39">
      <c r="A39" s="7">
        <v>45752.0</v>
      </c>
      <c r="B39" s="8">
        <v>0.9166666666666666</v>
      </c>
      <c r="C39" s="9" t="s">
        <v>27</v>
      </c>
      <c r="D39" s="9" t="s">
        <v>81</v>
      </c>
      <c r="E39" s="9" t="s">
        <v>82</v>
      </c>
      <c r="F39" s="10" t="s">
        <v>83</v>
      </c>
      <c r="G39" s="11" t="str">
        <f>HYPERLINK("https://www.tickettailor.com/events/tideandboargastropubinc/1605214", "Tickets")</f>
        <v>Tickets</v>
      </c>
    </row>
    <row r="40">
      <c r="A40" s="2">
        <v>45753.0</v>
      </c>
      <c r="B40" s="3"/>
      <c r="C40" s="4" t="s">
        <v>5</v>
      </c>
      <c r="D40" s="4" t="s">
        <v>6</v>
      </c>
      <c r="E40" s="4" t="s">
        <v>7</v>
      </c>
      <c r="F40" s="5"/>
      <c r="G40" s="6" t="str">
        <f>HYPERLINK("https://feastatlantic.com/", "Website")</f>
        <v>Website</v>
      </c>
    </row>
    <row r="41">
      <c r="A41" s="7">
        <v>45753.0</v>
      </c>
      <c r="B41" s="8">
        <v>0.4166666666666667</v>
      </c>
      <c r="C41" s="9" t="s">
        <v>42</v>
      </c>
      <c r="D41" s="9" t="s">
        <v>43</v>
      </c>
      <c r="E41" s="9" t="s">
        <v>44</v>
      </c>
      <c r="F41" s="10">
        <v>14.0</v>
      </c>
      <c r="G41" s="11" t="str">
        <f>HYPERLINK("http://monctonbss.ca/", "Website")</f>
        <v>Website</v>
      </c>
    </row>
    <row r="42">
      <c r="A42" s="2">
        <v>45753.0</v>
      </c>
      <c r="B42" s="12">
        <v>0.5833333333333334</v>
      </c>
      <c r="C42" s="4" t="s">
        <v>84</v>
      </c>
      <c r="D42" s="4" t="s">
        <v>50</v>
      </c>
      <c r="E42" s="4" t="s">
        <v>51</v>
      </c>
      <c r="F42" s="5">
        <v>24.0</v>
      </c>
      <c r="G42" s="6" t="str">
        <f>HYPERLINK("https://monumentlefebvre.tuxedobillet.com/main/clinique-beaute-discount-troupe-du-monument/20250406140000", "Limited")</f>
        <v>Limited</v>
      </c>
    </row>
    <row r="43">
      <c r="A43" s="7">
        <v>45753.0</v>
      </c>
      <c r="B43" s="8">
        <v>0.5833333333333334</v>
      </c>
      <c r="C43" s="9" t="s">
        <v>27</v>
      </c>
      <c r="D43" s="9" t="s">
        <v>85</v>
      </c>
      <c r="E43" s="9" t="s">
        <v>13</v>
      </c>
      <c r="F43" s="10">
        <v>25.0</v>
      </c>
      <c r="G43" s="11" t="str">
        <f>HYPERLINK("https://escaouette.tuxedobillet.com/main/ecrivez-moi/20250406140000", "Tickets")</f>
        <v>Tickets</v>
      </c>
    </row>
    <row r="44">
      <c r="A44" s="2">
        <v>45753.0</v>
      </c>
      <c r="B44" s="12">
        <v>0.625</v>
      </c>
      <c r="C44" s="4" t="s">
        <v>27</v>
      </c>
      <c r="D44" s="4" t="s">
        <v>86</v>
      </c>
      <c r="E44" s="4" t="s">
        <v>87</v>
      </c>
      <c r="F44" s="5">
        <v>35.0</v>
      </c>
      <c r="G44" s="6" t="str">
        <f>HYPERLINK("https://riverviewartscentre.tuxedobillet.com/main/tutta-musica-orchestra-presents-broadway-review-3-divas/20250406150000", "Popular")</f>
        <v>Popular</v>
      </c>
    </row>
    <row r="45">
      <c r="A45" s="7">
        <v>45754.0</v>
      </c>
      <c r="B45" s="13"/>
      <c r="C45" s="9" t="s">
        <v>5</v>
      </c>
      <c r="D45" s="9" t="s">
        <v>6</v>
      </c>
      <c r="E45" s="9" t="s">
        <v>7</v>
      </c>
      <c r="F45" s="10"/>
      <c r="G45" s="11" t="str">
        <f>HYPERLINK("https://feastatlantic.com/", "Website")</f>
        <v>Website</v>
      </c>
    </row>
    <row r="46">
      <c r="A46" s="2">
        <v>45754.0</v>
      </c>
      <c r="B46" s="12">
        <v>0.7916666666666666</v>
      </c>
      <c r="C46" s="4" t="s">
        <v>88</v>
      </c>
      <c r="D46" s="4" t="s">
        <v>89</v>
      </c>
      <c r="E46" s="4" t="s">
        <v>56</v>
      </c>
      <c r="F46" s="5" t="s">
        <v>35</v>
      </c>
      <c r="G46" s="6" t="str">
        <f>HYPERLINK("https://www.facebook.com/groups/1871694373299779", "Facebook")</f>
        <v>Facebook</v>
      </c>
    </row>
    <row r="47">
      <c r="A47" s="7">
        <v>45754.0</v>
      </c>
      <c r="B47" s="8">
        <v>0.7916666666666666</v>
      </c>
      <c r="C47" s="9" t="s">
        <v>20</v>
      </c>
      <c r="D47" s="9" t="s">
        <v>90</v>
      </c>
      <c r="E47" s="9" t="s">
        <v>91</v>
      </c>
      <c r="F47" s="10"/>
      <c r="G47" s="11" t="str">
        <f>HYPERLINK("https://www.facebook.com/share/p/1B1q4csrjy/", "Facebook")</f>
        <v>Facebook</v>
      </c>
    </row>
    <row r="48">
      <c r="A48" s="2">
        <v>45755.0</v>
      </c>
      <c r="B48" s="3"/>
      <c r="C48" s="4" t="s">
        <v>5</v>
      </c>
      <c r="D48" s="4" t="s">
        <v>6</v>
      </c>
      <c r="E48" s="4" t="s">
        <v>7</v>
      </c>
      <c r="F48" s="5"/>
      <c r="G48" s="6" t="str">
        <f>HYPERLINK("https://feastatlantic.com/", "Website")</f>
        <v>Website</v>
      </c>
    </row>
    <row r="49">
      <c r="A49" s="7">
        <v>45755.0</v>
      </c>
      <c r="B49" s="8">
        <v>0.8125</v>
      </c>
      <c r="C49" s="9" t="s">
        <v>92</v>
      </c>
      <c r="D49" s="16" t="s">
        <v>93</v>
      </c>
      <c r="E49" s="9" t="s">
        <v>16</v>
      </c>
      <c r="F49" s="10">
        <v>23.0</v>
      </c>
      <c r="G49" s="11" t="str">
        <f>HYPERLINK("https://centredesartsdieppe.tuxedobillet.com/main/ensemble-de-jazz/20250408193000", "Popular")</f>
        <v>Popular</v>
      </c>
    </row>
    <row r="50">
      <c r="A50" s="2">
        <v>45755.0</v>
      </c>
      <c r="B50" s="12">
        <v>0.8125</v>
      </c>
      <c r="C50" s="4" t="s">
        <v>94</v>
      </c>
      <c r="D50" s="4" t="s">
        <v>95</v>
      </c>
      <c r="E50" s="4" t="s">
        <v>10</v>
      </c>
      <c r="F50" s="5">
        <v>10.0</v>
      </c>
      <c r="G50" s="6" t="str">
        <f>HYPERLINK("https://www.facebook.com/farouteast/posts/1149877583505922", "Facebook")</f>
        <v>Facebook</v>
      </c>
    </row>
    <row r="51">
      <c r="A51" s="7">
        <v>45756.0</v>
      </c>
      <c r="B51" s="13"/>
      <c r="C51" s="9" t="s">
        <v>5</v>
      </c>
      <c r="D51" s="9" t="s">
        <v>6</v>
      </c>
      <c r="E51" s="9" t="s">
        <v>7</v>
      </c>
      <c r="F51" s="10"/>
      <c r="G51" s="11" t="str">
        <f>HYPERLINK("https://feastatlantic.com/", "Website")</f>
        <v>Website</v>
      </c>
    </row>
    <row r="52">
      <c r="A52" s="2">
        <v>45756.0</v>
      </c>
      <c r="B52" s="12">
        <v>0.75</v>
      </c>
      <c r="C52" s="4" t="s">
        <v>14</v>
      </c>
      <c r="D52" s="4" t="s">
        <v>96</v>
      </c>
      <c r="E52" s="4" t="s">
        <v>16</v>
      </c>
      <c r="F52" s="5" t="s">
        <v>97</v>
      </c>
      <c r="G52" s="6" t="str">
        <f>HYPERLINK("https://centredesartsdieppe.tuxedobillet.com/main/sculpture-sur-bois/20250129180000", "Tickets")</f>
        <v>Tickets</v>
      </c>
    </row>
    <row r="53">
      <c r="A53" s="7">
        <v>45756.0</v>
      </c>
      <c r="B53" s="8">
        <v>0.7916666666666666</v>
      </c>
      <c r="C53" s="9" t="s">
        <v>98</v>
      </c>
      <c r="D53" s="9" t="s">
        <v>19</v>
      </c>
      <c r="E53" s="9" t="s">
        <v>16</v>
      </c>
      <c r="F53" s="10">
        <v>23.0</v>
      </c>
      <c r="G53" s="11" t="str">
        <f>HYPERLINK("https://centredesartsdieppe.ca/en/programming/show/lio-saison-10", "Website")</f>
        <v>Website</v>
      </c>
    </row>
    <row r="54">
      <c r="A54" s="2">
        <v>45756.0</v>
      </c>
      <c r="B54" s="12">
        <v>0.7916666666666666</v>
      </c>
      <c r="C54" s="4" t="s">
        <v>99</v>
      </c>
      <c r="D54" s="4" t="s">
        <v>100</v>
      </c>
      <c r="E54" s="4" t="s">
        <v>101</v>
      </c>
      <c r="F54" s="5">
        <v>15.0</v>
      </c>
      <c r="G54" s="6" t="str">
        <f>HYPERLINK("https://angloeast.schoolcashonline.com/Fee/Details/34515/30/False/True", "Tickets")</f>
        <v>Tickets</v>
      </c>
    </row>
    <row r="55">
      <c r="A55" s="7">
        <v>45756.0</v>
      </c>
      <c r="B55" s="8">
        <v>0.7916666666666666</v>
      </c>
      <c r="C55" s="9" t="s">
        <v>20</v>
      </c>
      <c r="D55" s="9" t="s">
        <v>21</v>
      </c>
      <c r="E55" s="9" t="s">
        <v>22</v>
      </c>
      <c r="F55" s="10" t="s">
        <v>23</v>
      </c>
      <c r="G55" s="11" t="str">
        <f>HYPERLINK("https://riverviewlionsclub.ca/bingo/", "Website")</f>
        <v>Website</v>
      </c>
    </row>
    <row r="56">
      <c r="A56" s="2">
        <v>45756.0</v>
      </c>
      <c r="B56" s="12">
        <v>0.7916666666666666</v>
      </c>
      <c r="C56" s="4" t="s">
        <v>24</v>
      </c>
      <c r="D56" s="4" t="s">
        <v>25</v>
      </c>
      <c r="E56" s="4" t="s">
        <v>26</v>
      </c>
      <c r="F56" s="5">
        <v>7.0</v>
      </c>
      <c r="G56" s="6" t="str">
        <f>HYPERLINK("https://www.royalcanadianlegionbranch6moncton.com/", "Website")</f>
        <v>Website</v>
      </c>
    </row>
    <row r="57">
      <c r="A57" s="7">
        <v>45756.0</v>
      </c>
      <c r="B57" s="8">
        <v>0.7916666666666666</v>
      </c>
      <c r="C57" s="9" t="s">
        <v>38</v>
      </c>
      <c r="D57" s="9" t="s">
        <v>102</v>
      </c>
      <c r="E57" s="9" t="s">
        <v>34</v>
      </c>
      <c r="F57" s="10" t="s">
        <v>103</v>
      </c>
      <c r="G57" s="11" t="str">
        <f>HYPERLINK("https://www.eventbrite.ca/e/the-gay-af-comedy-tour-xeroz-arcade-bar-moncton-tickets-1205863814129", "Popular")</f>
        <v>Popular</v>
      </c>
    </row>
    <row r="58">
      <c r="A58" s="2">
        <v>45756.0</v>
      </c>
      <c r="B58" s="12">
        <v>0.8125</v>
      </c>
      <c r="C58" s="4" t="s">
        <v>27</v>
      </c>
      <c r="D58" s="4" t="s">
        <v>104</v>
      </c>
      <c r="E58" s="4" t="s">
        <v>53</v>
      </c>
      <c r="F58" s="5">
        <v>46.0</v>
      </c>
      <c r="G58" s="6" t="str">
        <f>HYPERLINK("https://capitol.tuxedobillet.com/main/requiem-de-faure/20250409193000", "Tickets")</f>
        <v>Tickets</v>
      </c>
    </row>
    <row r="59">
      <c r="A59" s="7">
        <v>45756.0</v>
      </c>
      <c r="B59" s="8">
        <v>0.8125</v>
      </c>
      <c r="C59" s="9" t="s">
        <v>94</v>
      </c>
      <c r="D59" s="9" t="s">
        <v>95</v>
      </c>
      <c r="E59" s="9" t="s">
        <v>10</v>
      </c>
      <c r="F59" s="10">
        <v>10.0</v>
      </c>
      <c r="G59" s="11" t="str">
        <f>HYPERLINK("https://www.facebook.com/farouteast/posts/1149877583505922", "Facebook")</f>
        <v>Facebook</v>
      </c>
    </row>
    <row r="60">
      <c r="A60" s="2">
        <v>45756.0</v>
      </c>
      <c r="B60" s="12">
        <v>0.8125</v>
      </c>
      <c r="C60" s="4" t="s">
        <v>105</v>
      </c>
      <c r="D60" s="4" t="s">
        <v>106</v>
      </c>
      <c r="E60" s="4" t="s">
        <v>13</v>
      </c>
      <c r="F60" s="5">
        <v>37.0</v>
      </c>
      <c r="G60" s="6" t="str">
        <f>HYPERLINK("https://escaouette.tuxedobillet.com/main/use-et-abuse/20250409193000", "Tickets")</f>
        <v>Tickets</v>
      </c>
    </row>
    <row r="61">
      <c r="A61" s="7">
        <v>45757.0</v>
      </c>
      <c r="B61" s="13"/>
      <c r="C61" s="9" t="s">
        <v>5</v>
      </c>
      <c r="D61" s="9" t="s">
        <v>6</v>
      </c>
      <c r="E61" s="9" t="s">
        <v>7</v>
      </c>
      <c r="F61" s="10"/>
      <c r="G61" s="11" t="str">
        <f>HYPERLINK("https://feastatlantic.com/", "Website")</f>
        <v>Website</v>
      </c>
    </row>
    <row r="62">
      <c r="A62" s="2">
        <v>45757.0</v>
      </c>
      <c r="B62" s="12">
        <v>0.7708333333333334</v>
      </c>
      <c r="C62" s="4" t="s">
        <v>45</v>
      </c>
      <c r="D62" s="4" t="s">
        <v>46</v>
      </c>
      <c r="E62" s="4" t="s">
        <v>47</v>
      </c>
      <c r="F62" s="5" t="s">
        <v>48</v>
      </c>
      <c r="G62" s="6" t="str">
        <f>HYPERLINK("https://www.mcsweeneytheatreco.com/", "Website")</f>
        <v>Website</v>
      </c>
    </row>
    <row r="63">
      <c r="A63" s="7">
        <v>45757.0</v>
      </c>
      <c r="B63" s="8">
        <v>0.7916666666666666</v>
      </c>
      <c r="C63" s="9" t="s">
        <v>99</v>
      </c>
      <c r="D63" s="9" t="s">
        <v>100</v>
      </c>
      <c r="E63" s="9" t="s">
        <v>101</v>
      </c>
      <c r="F63" s="10">
        <v>15.0</v>
      </c>
      <c r="G63" s="11" t="str">
        <f>HYPERLINK("https://angloeast.schoolcashonline.com/Fee/Details/34522/30/False/True", "Tickets")</f>
        <v>Tickets</v>
      </c>
    </row>
    <row r="64">
      <c r="A64" s="2">
        <v>45757.0</v>
      </c>
      <c r="B64" s="12">
        <v>0.8125</v>
      </c>
      <c r="C64" s="4" t="s">
        <v>107</v>
      </c>
      <c r="D64" s="4" t="s">
        <v>108</v>
      </c>
      <c r="E64" s="4" t="s">
        <v>53</v>
      </c>
      <c r="F64" s="5">
        <v>51.0</v>
      </c>
      <c r="G64" s="6" t="str">
        <f>HYPERLINK("https://capitol.tuxedobillet.com/main/matthieu-pepper/20250410193000", "Tickets")</f>
        <v>Tickets</v>
      </c>
    </row>
    <row r="65">
      <c r="A65" s="7">
        <v>45757.0</v>
      </c>
      <c r="B65" s="8">
        <v>0.8125</v>
      </c>
      <c r="C65" s="9" t="s">
        <v>109</v>
      </c>
      <c r="D65" s="9" t="s">
        <v>106</v>
      </c>
      <c r="E65" s="9" t="s">
        <v>13</v>
      </c>
      <c r="F65" s="10">
        <v>37.0</v>
      </c>
      <c r="G65" s="11" t="str">
        <f>HYPERLINK("https://escaouette.tuxedobillet.com/main/use-et-abuse/20250410193000", "Tickets")</f>
        <v>Tickets</v>
      </c>
    </row>
    <row r="66">
      <c r="A66" s="2">
        <v>45757.0</v>
      </c>
      <c r="B66" s="12">
        <v>0.875</v>
      </c>
      <c r="C66" s="4" t="s">
        <v>27</v>
      </c>
      <c r="D66" s="4" t="s">
        <v>110</v>
      </c>
      <c r="E66" s="4" t="s">
        <v>41</v>
      </c>
      <c r="F66" s="5" t="s">
        <v>35</v>
      </c>
      <c r="G66" s="6" t="str">
        <f>HYPERLINK("https://greatcanadian.com/event/hub-city-pub-free-live-music/", "Website")</f>
        <v>Website</v>
      </c>
    </row>
    <row r="67">
      <c r="A67" s="7">
        <v>45757.0</v>
      </c>
      <c r="B67" s="8">
        <v>0.875</v>
      </c>
      <c r="C67" s="9" t="s">
        <v>111</v>
      </c>
      <c r="D67" s="9" t="s">
        <v>112</v>
      </c>
      <c r="E67" s="9" t="s">
        <v>34</v>
      </c>
      <c r="F67" s="10" t="s">
        <v>76</v>
      </c>
      <c r="G67" s="11" t="str">
        <f>HYPERLINK("https://www.tickettailor.com/events/musicrunsthroughit/1566142", "Tickets")</f>
        <v>Tickets</v>
      </c>
    </row>
    <row r="68">
      <c r="A68" s="2">
        <v>45758.0</v>
      </c>
      <c r="B68" s="3"/>
      <c r="C68" s="4" t="s">
        <v>5</v>
      </c>
      <c r="D68" s="4" t="s">
        <v>6</v>
      </c>
      <c r="E68" s="4" t="s">
        <v>7</v>
      </c>
      <c r="F68" s="5"/>
      <c r="G68" s="6" t="str">
        <f>HYPERLINK("https://feastatlantic.com/", "Website")</f>
        <v>Website</v>
      </c>
    </row>
    <row r="69">
      <c r="A69" s="7">
        <v>45758.0</v>
      </c>
      <c r="B69" s="8">
        <v>0.75</v>
      </c>
      <c r="C69" s="9" t="s">
        <v>14</v>
      </c>
      <c r="D69" s="9" t="s">
        <v>113</v>
      </c>
      <c r="E69" s="9" t="s">
        <v>114</v>
      </c>
      <c r="F69" s="10">
        <v>32.0</v>
      </c>
      <c r="G69" s="11" t="str">
        <f>HYPERLINK("https://www.maker-hub.ca/service-page/paint-night-colorful-landscape-edition", "Website")</f>
        <v>Website</v>
      </c>
    </row>
    <row r="70">
      <c r="A70" s="2">
        <v>45758.0</v>
      </c>
      <c r="B70" s="12">
        <v>0.7708333333333334</v>
      </c>
      <c r="C70" s="4" t="s">
        <v>45</v>
      </c>
      <c r="D70" s="4" t="s">
        <v>46</v>
      </c>
      <c r="E70" s="4" t="s">
        <v>47</v>
      </c>
      <c r="F70" s="5" t="s">
        <v>48</v>
      </c>
      <c r="G70" s="6" t="str">
        <f>HYPERLINK("https://www.mcsweeneytheatreco.com/", "Website")</f>
        <v>Website</v>
      </c>
    </row>
    <row r="71">
      <c r="A71" s="7">
        <v>45758.0</v>
      </c>
      <c r="B71" s="8">
        <v>0.7916666666666666</v>
      </c>
      <c r="C71" s="9" t="s">
        <v>115</v>
      </c>
      <c r="D71" s="9" t="s">
        <v>116</v>
      </c>
      <c r="E71" s="9" t="s">
        <v>117</v>
      </c>
      <c r="F71" s="10" t="s">
        <v>118</v>
      </c>
      <c r="G71" s="11" t="str">
        <f>HYPERLINK("https://www.ticketmaster.ca/moncton-wildcats-vs-drakkar-de-baie-moncton-new-brunswick-04-11-2025/event/3100626B86C31850", "Tickets")</f>
        <v>Tickets</v>
      </c>
    </row>
    <row r="72">
      <c r="A72" s="2">
        <v>45758.0</v>
      </c>
      <c r="B72" s="12">
        <v>0.7916666666666666</v>
      </c>
      <c r="C72" s="4" t="s">
        <v>119</v>
      </c>
      <c r="D72" s="4" t="s">
        <v>120</v>
      </c>
      <c r="E72" s="4" t="s">
        <v>121</v>
      </c>
      <c r="F72" s="5" t="s">
        <v>122</v>
      </c>
      <c r="G72" s="6" t="str">
        <f>HYPERLINK("https://www.eventbrite.ca/e/tri-city-tide-vs-halifax-hoopers-11042025-tickets-1250797491969", "Tickets")</f>
        <v>Tickets</v>
      </c>
    </row>
    <row r="73">
      <c r="A73" s="7">
        <v>45758.0</v>
      </c>
      <c r="B73" s="8">
        <v>0.7916666666666666</v>
      </c>
      <c r="C73" s="9" t="s">
        <v>99</v>
      </c>
      <c r="D73" s="9" t="s">
        <v>100</v>
      </c>
      <c r="E73" s="9" t="s">
        <v>101</v>
      </c>
      <c r="F73" s="10">
        <v>15.0</v>
      </c>
      <c r="G73" s="11" t="str">
        <f>HYPERLINK("https://angloeast.schoolcashonline.com/Fee/Details/34524/30/False/True", "Tickets")</f>
        <v>Tickets</v>
      </c>
    </row>
    <row r="74">
      <c r="A74" s="2">
        <v>45758.0</v>
      </c>
      <c r="B74" s="12">
        <v>0.7916666666666666</v>
      </c>
      <c r="C74" s="4" t="s">
        <v>123</v>
      </c>
      <c r="D74" s="4" t="s">
        <v>50</v>
      </c>
      <c r="E74" s="4" t="s">
        <v>51</v>
      </c>
      <c r="F74" s="5">
        <v>24.0</v>
      </c>
      <c r="G74" s="6" t="str">
        <f>HYPERLINK("https://monumentlefebvre.tuxedobillet.com/main/clinique-beaute-discount-troupe-du-monument/20250411190000", "Popular")</f>
        <v>Popular</v>
      </c>
    </row>
    <row r="75">
      <c r="A75" s="7">
        <v>45758.0</v>
      </c>
      <c r="B75" s="8">
        <v>0.875</v>
      </c>
      <c r="C75" s="9" t="s">
        <v>124</v>
      </c>
      <c r="D75" s="9" t="s">
        <v>125</v>
      </c>
      <c r="E75" s="9" t="s">
        <v>34</v>
      </c>
      <c r="F75" s="10">
        <v>15.0</v>
      </c>
      <c r="G75" s="11" t="str">
        <f>HYPERLINK("https://www.facebook.com/share/p/1A6FbK4d92/", "Facebook")</f>
        <v>Facebook</v>
      </c>
    </row>
    <row r="76">
      <c r="A76" s="2">
        <v>45758.0</v>
      </c>
      <c r="B76" s="12">
        <v>0.9166666666666666</v>
      </c>
      <c r="C76" s="4" t="s">
        <v>27</v>
      </c>
      <c r="D76" s="15" t="s">
        <v>126</v>
      </c>
      <c r="E76" s="4" t="s">
        <v>41</v>
      </c>
      <c r="F76" s="5" t="s">
        <v>35</v>
      </c>
      <c r="G76" s="6" t="str">
        <f>HYPERLINK("https://greatcanadian.com/event/hub-city-pub-free-live-music/", "Website")</f>
        <v>Website</v>
      </c>
    </row>
    <row r="77">
      <c r="A77" s="7">
        <v>45759.0</v>
      </c>
      <c r="B77" s="13"/>
      <c r="C77" s="9" t="s">
        <v>5</v>
      </c>
      <c r="D77" s="9" t="s">
        <v>6</v>
      </c>
      <c r="E77" s="9" t="s">
        <v>7</v>
      </c>
      <c r="F77" s="10"/>
      <c r="G77" s="11" t="str">
        <f>HYPERLINK("https://feastatlantic.com/", "Website")</f>
        <v>Website</v>
      </c>
    </row>
    <row r="78">
      <c r="A78" s="2">
        <v>45759.0</v>
      </c>
      <c r="B78" s="12">
        <v>0.4166666666666667</v>
      </c>
      <c r="C78" s="4" t="s">
        <v>14</v>
      </c>
      <c r="D78" s="4" t="s">
        <v>127</v>
      </c>
      <c r="E78" s="4" t="s">
        <v>16</v>
      </c>
      <c r="F78" s="5" t="s">
        <v>128</v>
      </c>
      <c r="G78" s="6" t="str">
        <f>HYPERLINK("https://centredesartsdieppe.tuxedobillet.com/main/dessin-avril-2025/20250405100000", "Tickets")</f>
        <v>Tickets</v>
      </c>
    </row>
    <row r="79">
      <c r="A79" s="7">
        <v>45759.0</v>
      </c>
      <c r="B79" s="8">
        <v>0.4166666666666667</v>
      </c>
      <c r="C79" s="9" t="s">
        <v>129</v>
      </c>
      <c r="D79" s="9" t="s">
        <v>130</v>
      </c>
      <c r="E79" s="9" t="s">
        <v>16</v>
      </c>
      <c r="F79" s="10" t="s">
        <v>131</v>
      </c>
      <c r="G79" s="11" t="str">
        <f>HYPERLINK("https://centredesartsdieppe.tuxedobillet.com/main/ateliers-de-couture-ados-adultes/20250329100000", "Tickets")</f>
        <v>Tickets</v>
      </c>
    </row>
    <row r="80">
      <c r="A80" s="2">
        <v>45759.0</v>
      </c>
      <c r="B80" s="12">
        <v>0.4166666666666667</v>
      </c>
      <c r="C80" s="4" t="s">
        <v>132</v>
      </c>
      <c r="D80" s="4" t="s">
        <v>133</v>
      </c>
      <c r="E80" s="4" t="s">
        <v>44</v>
      </c>
      <c r="F80" s="5">
        <v>5.0</v>
      </c>
      <c r="G80" s="6" t="str">
        <f>HYPERLINK("https://www.wellnessexpomoncton.com/", "Website")</f>
        <v>Website</v>
      </c>
    </row>
    <row r="81">
      <c r="A81" s="7">
        <v>45759.0</v>
      </c>
      <c r="B81" s="8">
        <v>0.5416666666666666</v>
      </c>
      <c r="C81" s="9" t="s">
        <v>14</v>
      </c>
      <c r="D81" s="9" t="s">
        <v>134</v>
      </c>
      <c r="E81" s="9" t="s">
        <v>114</v>
      </c>
      <c r="F81" s="10">
        <v>15.0</v>
      </c>
      <c r="G81" s="11" t="str">
        <f>HYPERLINK("https://www.maker-hub.ca/service-page/paint-a-3d-printed-egg-container", "Website")</f>
        <v>Website</v>
      </c>
    </row>
    <row r="82">
      <c r="A82" s="2">
        <v>45759.0</v>
      </c>
      <c r="B82" s="12">
        <v>0.5833333333333334</v>
      </c>
      <c r="C82" s="4" t="s">
        <v>99</v>
      </c>
      <c r="D82" s="4" t="s">
        <v>100</v>
      </c>
      <c r="E82" s="4" t="s">
        <v>101</v>
      </c>
      <c r="F82" s="5">
        <v>15.0</v>
      </c>
      <c r="G82" s="6" t="str">
        <f>HYPERLINK("https://angloeast.schoolcashonline.com/Fee/Details/34528/30/False/True", "Tickets")</f>
        <v>Tickets</v>
      </c>
    </row>
    <row r="83">
      <c r="A83" s="7">
        <v>45759.0</v>
      </c>
      <c r="B83" s="8">
        <v>0.6666666666666666</v>
      </c>
      <c r="C83" s="9" t="s">
        <v>119</v>
      </c>
      <c r="D83" s="9" t="s">
        <v>135</v>
      </c>
      <c r="E83" s="9" t="s">
        <v>121</v>
      </c>
      <c r="F83" s="10">
        <v>124.0</v>
      </c>
      <c r="G83" s="11" t="str">
        <f>HYPERLINK("https://www.eventbrite.ca/e/tri-city-tide-spring-basketball-camp-tickets-1286002591369", "Popular")</f>
        <v>Popular</v>
      </c>
    </row>
    <row r="84">
      <c r="A84" s="2">
        <v>45759.0</v>
      </c>
      <c r="B84" s="12">
        <v>0.7916666666666666</v>
      </c>
      <c r="C84" s="4" t="s">
        <v>27</v>
      </c>
      <c r="D84" s="4" t="s">
        <v>136</v>
      </c>
      <c r="E84" s="4" t="s">
        <v>137</v>
      </c>
      <c r="F84" s="5" t="s">
        <v>138</v>
      </c>
      <c r="G84" s="6" t="str">
        <f>HYPERLINK("https://feverup.com/m/155949", "Tickets")</f>
        <v>Tickets</v>
      </c>
    </row>
    <row r="85">
      <c r="A85" s="7">
        <v>45759.0</v>
      </c>
      <c r="B85" s="8">
        <v>0.7916666666666666</v>
      </c>
      <c r="C85" s="9" t="s">
        <v>139</v>
      </c>
      <c r="D85" s="9" t="s">
        <v>140</v>
      </c>
      <c r="E85" s="9" t="s">
        <v>44</v>
      </c>
      <c r="F85" s="10">
        <v>66.0</v>
      </c>
      <c r="G85" s="11" t="str">
        <f>HYPERLINK("https://www.showpass.com/fight-league-atlantic-19/", "Tickets")</f>
        <v>Tickets</v>
      </c>
    </row>
    <row r="86">
      <c r="A86" s="2">
        <v>45759.0</v>
      </c>
      <c r="B86" s="12">
        <v>0.7916666666666666</v>
      </c>
      <c r="C86" s="4" t="s">
        <v>99</v>
      </c>
      <c r="D86" s="4" t="s">
        <v>100</v>
      </c>
      <c r="E86" s="4" t="s">
        <v>101</v>
      </c>
      <c r="F86" s="5">
        <v>15.0</v>
      </c>
      <c r="G86" s="6" t="str">
        <f>HYPERLINK("https://angloeast.schoolcashonline.com/Fee/Details/34530/30/False/True", "Tickets")</f>
        <v>Tickets</v>
      </c>
    </row>
    <row r="87">
      <c r="A87" s="7">
        <v>45759.0</v>
      </c>
      <c r="B87" s="8">
        <v>0.7916666666666666</v>
      </c>
      <c r="C87" s="9" t="s">
        <v>141</v>
      </c>
      <c r="D87" s="9" t="s">
        <v>50</v>
      </c>
      <c r="E87" s="9" t="s">
        <v>51</v>
      </c>
      <c r="F87" s="10">
        <v>24.0</v>
      </c>
      <c r="G87" s="11" t="str">
        <f>HYPERLINK("https://monumentlefebvre.tuxedobillet.com/main/clinique-beaute-discount-troupe-du-monument/20250412190000", "Popular")</f>
        <v>Popular</v>
      </c>
    </row>
    <row r="88">
      <c r="A88" s="2">
        <v>45759.0</v>
      </c>
      <c r="B88" s="12">
        <v>0.8125</v>
      </c>
      <c r="C88" s="4" t="s">
        <v>54</v>
      </c>
      <c r="D88" s="4" t="s">
        <v>142</v>
      </c>
      <c r="E88" s="4" t="s">
        <v>53</v>
      </c>
      <c r="F88" s="5" t="s">
        <v>143</v>
      </c>
      <c r="G88" s="6" t="str">
        <f>HYPERLINK("https://capitol.tuxedobillet.com/main/alan-jackson-et-george-strait-experience/20250412193000", "Popular")</f>
        <v>Popular</v>
      </c>
    </row>
    <row r="89">
      <c r="A89" s="7">
        <v>45759.0</v>
      </c>
      <c r="B89" s="8">
        <v>0.8333333333333334</v>
      </c>
      <c r="C89" s="9" t="s">
        <v>144</v>
      </c>
      <c r="D89" s="9" t="s">
        <v>145</v>
      </c>
      <c r="E89" s="9" t="s">
        <v>117</v>
      </c>
      <c r="F89" s="10" t="s">
        <v>146</v>
      </c>
      <c r="G89" s="11" t="str">
        <f>HYPERLINK("https://www.ticketmaster.ca/nelly-with-ja-rule-special-guests-moncton-new-brunswick-04-12-2025/event/31006183F5D43B94", "Limited")</f>
        <v>Limited</v>
      </c>
    </row>
    <row r="90">
      <c r="A90" s="2">
        <v>45759.0</v>
      </c>
      <c r="B90" s="12">
        <v>0.8333333333333334</v>
      </c>
      <c r="C90" s="4" t="s">
        <v>99</v>
      </c>
      <c r="D90" s="4" t="s">
        <v>147</v>
      </c>
      <c r="E90" s="4" t="s">
        <v>148</v>
      </c>
      <c r="F90" s="5" t="s">
        <v>149</v>
      </c>
      <c r="G90" s="6" t="str">
        <f>HYPERLINK("https://www.ticketmaster.ca/dirty-dancing-in-concert-moncton-new-brunswick-04-12-2025/event/310061687A5D1326", "Low")</f>
        <v>Low</v>
      </c>
    </row>
    <row r="91">
      <c r="A91" s="7">
        <v>45759.0</v>
      </c>
      <c r="B91" s="8">
        <v>0.8333333333333334</v>
      </c>
      <c r="C91" s="9" t="s">
        <v>150</v>
      </c>
      <c r="D91" s="9" t="s">
        <v>151</v>
      </c>
      <c r="E91" s="9" t="s">
        <v>79</v>
      </c>
      <c r="F91" s="10">
        <v>25.0</v>
      </c>
      <c r="G91" s="11" t="str">
        <f>HYPERLINK("https://www.tickettailor.com/events/tideandboargastropubinc/1495130", "Postponed")</f>
        <v>Postponed</v>
      </c>
    </row>
    <row r="92">
      <c r="A92" s="2">
        <v>45759.0</v>
      </c>
      <c r="B92" s="12">
        <v>0.875</v>
      </c>
      <c r="C92" s="4" t="s">
        <v>27</v>
      </c>
      <c r="D92" s="4" t="s">
        <v>152</v>
      </c>
      <c r="E92" s="4" t="s">
        <v>137</v>
      </c>
      <c r="F92" s="5" t="s">
        <v>138</v>
      </c>
      <c r="G92" s="6" t="str">
        <f>HYPERLINK("https://feverup.com/m/304413", "Tickets")</f>
        <v>Tickets</v>
      </c>
    </row>
    <row r="93">
      <c r="A93" s="7">
        <v>45759.0</v>
      </c>
      <c r="B93" s="8">
        <v>0.9166666666666666</v>
      </c>
      <c r="C93" s="9" t="s">
        <v>27</v>
      </c>
      <c r="D93" s="17" t="s">
        <v>153</v>
      </c>
      <c r="E93" s="9" t="s">
        <v>41</v>
      </c>
      <c r="F93" s="10" t="s">
        <v>35</v>
      </c>
      <c r="G93" s="11" t="str">
        <f>HYPERLINK("https://greatcanadian.com/event/hub-city-pub-free-live-music/", "Website")</f>
        <v>Website</v>
      </c>
    </row>
    <row r="94">
      <c r="A94" s="2">
        <v>45759.0</v>
      </c>
      <c r="B94" s="12">
        <v>0.9166666666666666</v>
      </c>
      <c r="C94" s="4" t="s">
        <v>27</v>
      </c>
      <c r="D94" s="4" t="s">
        <v>154</v>
      </c>
      <c r="E94" s="4" t="s">
        <v>34</v>
      </c>
      <c r="F94" s="5">
        <v>8.0</v>
      </c>
      <c r="G94" s="6" t="str">
        <f>HYPERLINK("https://www.facebook.com/events/513826978258005", "Facebook")</f>
        <v>Facebook</v>
      </c>
    </row>
    <row r="95">
      <c r="A95" s="7">
        <v>45759.0</v>
      </c>
      <c r="B95" s="8">
        <v>0.9375</v>
      </c>
      <c r="C95" s="9" t="s">
        <v>155</v>
      </c>
      <c r="D95" s="9" t="s">
        <v>156</v>
      </c>
      <c r="E95" s="9" t="s">
        <v>82</v>
      </c>
      <c r="F95" s="10">
        <v>30.0</v>
      </c>
      <c r="G95" s="11" t="str">
        <f>HYPERLINK("https://www.eventbrite.ca/e/robbie-g-performs-live-in-moncton-april-12-at-tide-boar-tickets-1262906119199", "Low")</f>
        <v>Low</v>
      </c>
    </row>
    <row r="96">
      <c r="A96" s="2">
        <v>45760.0</v>
      </c>
      <c r="B96" s="3"/>
      <c r="C96" s="4" t="s">
        <v>5</v>
      </c>
      <c r="D96" s="4" t="s">
        <v>6</v>
      </c>
      <c r="E96" s="4" t="s">
        <v>7</v>
      </c>
      <c r="F96" s="5"/>
      <c r="G96" s="6" t="str">
        <f>HYPERLINK("https://feastatlantic.com/", "Website")</f>
        <v>Website</v>
      </c>
    </row>
    <row r="97">
      <c r="A97" s="7">
        <v>45760.0</v>
      </c>
      <c r="B97" s="8">
        <v>0.4166666666666667</v>
      </c>
      <c r="C97" s="9" t="s">
        <v>132</v>
      </c>
      <c r="D97" s="9" t="s">
        <v>133</v>
      </c>
      <c r="E97" s="9" t="s">
        <v>44</v>
      </c>
      <c r="F97" s="10">
        <v>5.0</v>
      </c>
      <c r="G97" s="11" t="str">
        <f>HYPERLINK("https://www.wellnessexpomoncton.com/", "Website")</f>
        <v>Website</v>
      </c>
    </row>
    <row r="98">
      <c r="A98" s="2">
        <v>45760.0</v>
      </c>
      <c r="B98" s="12">
        <v>0.6666666666666666</v>
      </c>
      <c r="C98" s="4" t="s">
        <v>115</v>
      </c>
      <c r="D98" s="4" t="s">
        <v>157</v>
      </c>
      <c r="E98" s="4" t="s">
        <v>117</v>
      </c>
      <c r="F98" s="5" t="s">
        <v>118</v>
      </c>
      <c r="G98" s="6" t="str">
        <f>HYPERLINK("https://www.ticketmaster.ca/moncton-wildcats-vs-drakkar-de-baie-moncton-new-brunswick-04-13-2025/event/3100626B86C51854", "Tickets")</f>
        <v>Tickets</v>
      </c>
    </row>
    <row r="99">
      <c r="A99" s="7">
        <v>45760.0</v>
      </c>
      <c r="B99" s="8">
        <v>0.6666666666666666</v>
      </c>
      <c r="C99" s="9" t="s">
        <v>119</v>
      </c>
      <c r="D99" s="9" t="s">
        <v>135</v>
      </c>
      <c r="E99" s="9" t="s">
        <v>121</v>
      </c>
      <c r="F99" s="10">
        <v>124.0</v>
      </c>
      <c r="G99" s="11" t="str">
        <f>HYPERLINK("https://www.eventbrite.ca/e/tri-city-tide-spring-basketball-camp-tickets-1286002591369", "Popular")</f>
        <v>Popular</v>
      </c>
    </row>
    <row r="100">
      <c r="A100" s="2">
        <v>45760.0</v>
      </c>
      <c r="B100" s="12">
        <v>0.7916666666666666</v>
      </c>
      <c r="C100" s="4" t="s">
        <v>158</v>
      </c>
      <c r="D100" s="4" t="s">
        <v>159</v>
      </c>
      <c r="E100" s="4" t="s">
        <v>53</v>
      </c>
      <c r="F100" s="5">
        <v>56.0</v>
      </c>
      <c r="G100" s="6" t="str">
        <f>HYPERLINK("https://capitol.tuxedobillet.com/main/the-peking-acrobats/20250413190000", "Popular")</f>
        <v>Popular</v>
      </c>
    </row>
    <row r="101">
      <c r="A101" s="7">
        <v>45761.0</v>
      </c>
      <c r="B101" s="13"/>
      <c r="C101" s="9" t="s">
        <v>5</v>
      </c>
      <c r="D101" s="9" t="s">
        <v>6</v>
      </c>
      <c r="E101" s="9" t="s">
        <v>7</v>
      </c>
      <c r="F101" s="10"/>
      <c r="G101" s="11" t="str">
        <f>HYPERLINK("https://feastatlantic.com/", "Website")</f>
        <v>Website</v>
      </c>
    </row>
    <row r="102">
      <c r="A102" s="2">
        <v>45761.0</v>
      </c>
      <c r="B102" s="12">
        <v>0.7916666666666666</v>
      </c>
      <c r="C102" s="4" t="s">
        <v>88</v>
      </c>
      <c r="D102" s="4" t="s">
        <v>89</v>
      </c>
      <c r="E102" s="4" t="s">
        <v>56</v>
      </c>
      <c r="F102" s="5" t="s">
        <v>35</v>
      </c>
      <c r="G102" s="6" t="str">
        <f>HYPERLINK("https://www.facebook.com/groups/1871694373299779", "Facebook")</f>
        <v>Facebook</v>
      </c>
    </row>
    <row r="103">
      <c r="A103" s="7">
        <v>45762.0</v>
      </c>
      <c r="B103" s="13"/>
      <c r="C103" s="9" t="s">
        <v>5</v>
      </c>
      <c r="D103" s="9" t="s">
        <v>6</v>
      </c>
      <c r="E103" s="9" t="s">
        <v>7</v>
      </c>
      <c r="F103" s="10"/>
      <c r="G103" s="11" t="str">
        <f>HYPERLINK("https://feastatlantic.com/", "Website")</f>
        <v>Website</v>
      </c>
    </row>
    <row r="104">
      <c r="A104" s="2">
        <v>45762.0</v>
      </c>
      <c r="B104" s="12">
        <v>0.7916666666666666</v>
      </c>
      <c r="C104" s="4" t="s">
        <v>38</v>
      </c>
      <c r="D104" s="18" t="s">
        <v>160</v>
      </c>
      <c r="E104" s="4" t="s">
        <v>53</v>
      </c>
      <c r="F104" s="5" t="s">
        <v>161</v>
      </c>
      <c r="G104" s="6" t="str">
        <f>HYPERLINK("https://capitol.tuxedobillet.com/main/steve-o-super-dummy-tour/20250415190000", "Popular")</f>
        <v>Popular</v>
      </c>
    </row>
    <row r="105">
      <c r="A105" s="7">
        <v>45762.0</v>
      </c>
      <c r="B105" s="8">
        <v>0.8125</v>
      </c>
      <c r="C105" s="9" t="s">
        <v>27</v>
      </c>
      <c r="D105" s="16" t="s">
        <v>162</v>
      </c>
      <c r="E105" s="9" t="s">
        <v>16</v>
      </c>
      <c r="F105" s="10">
        <v>40.0</v>
      </c>
      <c r="G105" s="11" t="str">
        <f>HYPERLINK("https://centredesartsdieppe.tuxedobillet.com/main/touches-modernes/20250415193000", "Tickets")</f>
        <v>Tickets</v>
      </c>
    </row>
    <row r="106">
      <c r="A106" s="2">
        <v>45762.0</v>
      </c>
      <c r="B106" s="12">
        <v>0.8125</v>
      </c>
      <c r="C106" s="4" t="s">
        <v>163</v>
      </c>
      <c r="D106" s="4" t="s">
        <v>164</v>
      </c>
      <c r="E106" s="4" t="s">
        <v>10</v>
      </c>
      <c r="F106" s="5">
        <v>10.0</v>
      </c>
      <c r="G106" s="6" t="str">
        <f>HYPERLINK("https://www.facebook.com/farouteast/posts/1149877583505922", "Facebook")</f>
        <v>Facebook</v>
      </c>
    </row>
    <row r="107">
      <c r="A107" s="7">
        <v>45763.0</v>
      </c>
      <c r="B107" s="13"/>
      <c r="C107" s="9" t="s">
        <v>5</v>
      </c>
      <c r="D107" s="9" t="s">
        <v>6</v>
      </c>
      <c r="E107" s="9" t="s">
        <v>7</v>
      </c>
      <c r="F107" s="10"/>
      <c r="G107" s="11" t="str">
        <f>HYPERLINK("https://feastatlantic.com/", "Website")</f>
        <v>Website</v>
      </c>
    </row>
    <row r="108">
      <c r="A108" s="2">
        <v>45763.0</v>
      </c>
      <c r="B108" s="12">
        <v>0.75</v>
      </c>
      <c r="C108" s="4" t="s">
        <v>14</v>
      </c>
      <c r="D108" s="4" t="s">
        <v>165</v>
      </c>
      <c r="E108" s="4" t="s">
        <v>16</v>
      </c>
      <c r="F108" s="5" t="s">
        <v>166</v>
      </c>
      <c r="G108" s="6" t="str">
        <f>HYPERLINK("https://centredesartsdieppe.tuxedobillet.com/main/sculpture-sur-bois/20250129180000", "Tickets")</f>
        <v>Tickets</v>
      </c>
    </row>
    <row r="109">
      <c r="A109" s="7">
        <v>45763.0</v>
      </c>
      <c r="B109" s="8">
        <v>0.75</v>
      </c>
      <c r="C109" s="9" t="s">
        <v>14</v>
      </c>
      <c r="D109" s="9" t="s">
        <v>167</v>
      </c>
      <c r="E109" s="9" t="s">
        <v>114</v>
      </c>
      <c r="F109" s="10">
        <v>15.0</v>
      </c>
      <c r="G109" s="11" t="str">
        <f>HYPERLINK("https://www.maker-hub.ca/service-page/paint-a-3d-printed-egg-container", "Website")</f>
        <v>Website</v>
      </c>
    </row>
    <row r="110">
      <c r="A110" s="2">
        <v>45763.0</v>
      </c>
      <c r="B110" s="12">
        <v>0.7916666666666666</v>
      </c>
      <c r="C110" s="4" t="s">
        <v>168</v>
      </c>
      <c r="D110" s="4" t="s">
        <v>19</v>
      </c>
      <c r="E110" s="4" t="s">
        <v>16</v>
      </c>
      <c r="F110" s="5">
        <v>23.0</v>
      </c>
      <c r="G110" s="6" t="str">
        <f>HYPERLINK("https://centredesartsdieppe.ca/en/programming/show/lio-saison-10", "Website")</f>
        <v>Website</v>
      </c>
    </row>
    <row r="111">
      <c r="A111" s="7">
        <v>45763.0</v>
      </c>
      <c r="B111" s="8">
        <v>0.7916666666666666</v>
      </c>
      <c r="C111" s="9" t="s">
        <v>20</v>
      </c>
      <c r="D111" s="9" t="s">
        <v>21</v>
      </c>
      <c r="E111" s="9" t="s">
        <v>22</v>
      </c>
      <c r="F111" s="10" t="s">
        <v>23</v>
      </c>
      <c r="G111" s="11" t="str">
        <f>HYPERLINK("https://riverviewlionsclub.ca/bingo/", "Website")</f>
        <v>Website</v>
      </c>
    </row>
    <row r="112">
      <c r="A112" s="2">
        <v>45763.0</v>
      </c>
      <c r="B112" s="12">
        <v>0.7916666666666666</v>
      </c>
      <c r="C112" s="4" t="s">
        <v>24</v>
      </c>
      <c r="D112" s="4" t="s">
        <v>25</v>
      </c>
      <c r="E112" s="4" t="s">
        <v>26</v>
      </c>
      <c r="F112" s="5">
        <v>7.0</v>
      </c>
      <c r="G112" s="6" t="str">
        <f>HYPERLINK("https://www.royalcanadianlegionbranch6moncton.com/", "Website")</f>
        <v>Website</v>
      </c>
    </row>
    <row r="113">
      <c r="A113" s="7">
        <v>45763.0</v>
      </c>
      <c r="B113" s="8">
        <v>0.8125</v>
      </c>
      <c r="C113" s="9" t="s">
        <v>163</v>
      </c>
      <c r="D113" s="9" t="s">
        <v>164</v>
      </c>
      <c r="E113" s="9" t="s">
        <v>10</v>
      </c>
      <c r="F113" s="10">
        <v>10.0</v>
      </c>
      <c r="G113" s="11" t="str">
        <f>HYPERLINK("https://www.facebook.com/farouteast/posts/1149877583505922", "Facebook")</f>
        <v>Facebook</v>
      </c>
    </row>
    <row r="114">
      <c r="A114" s="2">
        <v>45763.0</v>
      </c>
      <c r="B114" s="12">
        <v>0.9166666666666666</v>
      </c>
      <c r="C114" s="4" t="s">
        <v>27</v>
      </c>
      <c r="D114" s="15" t="s">
        <v>169</v>
      </c>
      <c r="E114" s="4" t="s">
        <v>41</v>
      </c>
      <c r="F114" s="5" t="s">
        <v>35</v>
      </c>
      <c r="G114" s="6" t="str">
        <f>HYPERLINK("https://greatcanadian.com/event/hub-city-pub-free-live-music/", "Website")</f>
        <v>Website</v>
      </c>
    </row>
    <row r="115">
      <c r="A115" s="7">
        <v>45764.0</v>
      </c>
      <c r="B115" s="8">
        <v>0.75</v>
      </c>
      <c r="C115" s="9" t="s">
        <v>170</v>
      </c>
      <c r="D115" s="9" t="s">
        <v>171</v>
      </c>
      <c r="E115" s="9" t="s">
        <v>16</v>
      </c>
      <c r="F115" s="10">
        <v>40.0</v>
      </c>
      <c r="G115" s="11" t="str">
        <f>HYPERLINK("https://centredesartsdieppe.tuxedobillet.com/main/aquarelle-pour-enfants/20250417180000", "Tickets")</f>
        <v>Tickets</v>
      </c>
    </row>
    <row r="116">
      <c r="A116" s="2">
        <v>45764.0</v>
      </c>
      <c r="B116" s="12">
        <v>0.75</v>
      </c>
      <c r="C116" s="4" t="s">
        <v>38</v>
      </c>
      <c r="D116" s="4" t="s">
        <v>172</v>
      </c>
      <c r="E116" s="4" t="s">
        <v>34</v>
      </c>
      <c r="F116" s="5"/>
      <c r="G116" s="19"/>
    </row>
    <row r="117">
      <c r="A117" s="7">
        <v>45764.0</v>
      </c>
      <c r="B117" s="8">
        <v>0.8333333333333334</v>
      </c>
      <c r="C117" s="9" t="s">
        <v>173</v>
      </c>
      <c r="D117" s="9" t="s">
        <v>174</v>
      </c>
      <c r="E117" s="9" t="s">
        <v>53</v>
      </c>
      <c r="F117" s="10">
        <v>50.0</v>
      </c>
      <c r="G117" s="11" t="str">
        <f>HYPERLINK("https://capitol.tuxedobillet.com/main/les-gars-du-nord-2025/20250417200000", "Popular")</f>
        <v>Popular</v>
      </c>
    </row>
    <row r="118">
      <c r="A118" s="2">
        <v>45764.0</v>
      </c>
      <c r="B118" s="12">
        <v>0.875</v>
      </c>
      <c r="C118" s="4" t="s">
        <v>27</v>
      </c>
      <c r="D118" s="4" t="s">
        <v>175</v>
      </c>
      <c r="E118" s="4" t="s">
        <v>41</v>
      </c>
      <c r="F118" s="5" t="s">
        <v>35</v>
      </c>
      <c r="G118" s="6" t="str">
        <f>HYPERLINK("https://greatcanadian.com/event/hub-city-pub-free-live-music/", "Website")</f>
        <v>Website</v>
      </c>
    </row>
    <row r="119">
      <c r="A119" s="7">
        <v>45765.0</v>
      </c>
      <c r="B119" s="8">
        <v>0.75</v>
      </c>
      <c r="C119" s="9" t="s">
        <v>14</v>
      </c>
      <c r="D119" s="9" t="s">
        <v>176</v>
      </c>
      <c r="E119" s="9" t="s">
        <v>16</v>
      </c>
      <c r="F119" s="10" t="s">
        <v>177</v>
      </c>
      <c r="G119" s="11" t="str">
        <f>HYPERLINK("https://centredesartsdieppe.tuxedobillet.com/main/mugs-et-merlot/20250418180000", "Sold Out")</f>
        <v>Sold Out</v>
      </c>
    </row>
    <row r="120">
      <c r="A120" s="2">
        <v>45765.0</v>
      </c>
      <c r="B120" s="12">
        <v>0.7708333333333334</v>
      </c>
      <c r="C120" s="4" t="s">
        <v>45</v>
      </c>
      <c r="D120" s="4" t="s">
        <v>46</v>
      </c>
      <c r="E120" s="4" t="s">
        <v>47</v>
      </c>
      <c r="F120" s="5" t="s">
        <v>48</v>
      </c>
      <c r="G120" s="6" t="str">
        <f>HYPERLINK("https://www.mcsweeneytheatreco.com/", "Website")</f>
        <v>Website</v>
      </c>
    </row>
    <row r="121">
      <c r="A121" s="7">
        <v>45765.0</v>
      </c>
      <c r="B121" s="8">
        <v>0.8333333333333334</v>
      </c>
      <c r="C121" s="9" t="s">
        <v>178</v>
      </c>
      <c r="D121" s="9" t="s">
        <v>179</v>
      </c>
      <c r="E121" s="9" t="s">
        <v>53</v>
      </c>
      <c r="F121" s="10">
        <v>51.0</v>
      </c>
      <c r="G121" s="11" t="str">
        <f>HYPERLINK("https://capitol.tuxedobillet.com/main/rose-cousins-2025/20250418200000", "Tickets")</f>
        <v>Tickets</v>
      </c>
    </row>
    <row r="122">
      <c r="A122" s="2">
        <v>45765.0</v>
      </c>
      <c r="B122" s="12">
        <v>0.875</v>
      </c>
      <c r="C122" s="4" t="s">
        <v>150</v>
      </c>
      <c r="D122" s="4" t="s">
        <v>180</v>
      </c>
      <c r="E122" s="4" t="s">
        <v>181</v>
      </c>
      <c r="F122" s="5">
        <v>23.0</v>
      </c>
      <c r="G122" s="6" t="str">
        <f>HYPERLINK("https://www.eventbrite.com/e/90s-metal-night-tickets-1237359739289", "Tickets")</f>
        <v>Tickets</v>
      </c>
    </row>
    <row r="123">
      <c r="A123" s="7">
        <v>45765.0</v>
      </c>
      <c r="B123" s="8">
        <v>0.875</v>
      </c>
      <c r="C123" s="9" t="s">
        <v>182</v>
      </c>
      <c r="D123" s="9" t="s">
        <v>183</v>
      </c>
      <c r="E123" s="9" t="s">
        <v>184</v>
      </c>
      <c r="F123" s="10">
        <v>20.0</v>
      </c>
      <c r="G123" s="11" t="str">
        <f>HYPERLINK("https://www.tickettailor.com/events/tideandboargastropubinc/1564722", "Cancelled")</f>
        <v>Cancelled</v>
      </c>
    </row>
    <row r="124">
      <c r="A124" s="2">
        <v>45765.0</v>
      </c>
      <c r="B124" s="12">
        <v>0.875</v>
      </c>
      <c r="C124" s="4" t="s">
        <v>150</v>
      </c>
      <c r="D124" s="4" t="s">
        <v>185</v>
      </c>
      <c r="E124" s="4" t="s">
        <v>34</v>
      </c>
      <c r="F124" s="5">
        <v>22.0</v>
      </c>
      <c r="G124" s="6" t="str">
        <f>HYPERLINK("https://lepointdevente.com/billets/j54250418001", "Tickets")</f>
        <v>Tickets</v>
      </c>
    </row>
    <row r="125">
      <c r="A125" s="7">
        <v>45765.0</v>
      </c>
      <c r="B125" s="8">
        <v>0.9166666666666666</v>
      </c>
      <c r="C125" s="9" t="s">
        <v>27</v>
      </c>
      <c r="D125" s="17" t="s">
        <v>186</v>
      </c>
      <c r="E125" s="9" t="s">
        <v>41</v>
      </c>
      <c r="F125" s="10" t="s">
        <v>35</v>
      </c>
      <c r="G125" s="11" t="str">
        <f>HYPERLINK("https://greatcanadian.com/event/hub-city-pub-free-live-music/", "Website")</f>
        <v>Website</v>
      </c>
    </row>
    <row r="126">
      <c r="A126" s="2">
        <v>45766.0</v>
      </c>
      <c r="B126" s="12">
        <v>0.4166666666666667</v>
      </c>
      <c r="C126" s="4" t="s">
        <v>14</v>
      </c>
      <c r="D126" s="4" t="s">
        <v>187</v>
      </c>
      <c r="E126" s="4" t="s">
        <v>16</v>
      </c>
      <c r="F126" s="5" t="s">
        <v>188</v>
      </c>
      <c r="G126" s="6" t="str">
        <f>HYPERLINK("https://centredesartsdieppe.tuxedobillet.com/main/dessin-avril-2025/20250405100000", "Tickets")</f>
        <v>Tickets</v>
      </c>
    </row>
    <row r="127">
      <c r="A127" s="7">
        <v>45766.0</v>
      </c>
      <c r="B127" s="8">
        <v>0.4166666666666667</v>
      </c>
      <c r="C127" s="9" t="s">
        <v>189</v>
      </c>
      <c r="D127" s="9" t="s">
        <v>190</v>
      </c>
      <c r="E127" s="9" t="s">
        <v>16</v>
      </c>
      <c r="F127" s="10" t="s">
        <v>191</v>
      </c>
      <c r="G127" s="11" t="str">
        <f>HYPERLINK("https://centredesartsdieppe.tuxedobillet.com/main/ateliers-de-couture-ados-adultes/20250329100000", "Tickets")</f>
        <v>Tickets</v>
      </c>
    </row>
    <row r="128">
      <c r="A128" s="2">
        <v>45766.0</v>
      </c>
      <c r="B128" s="12">
        <v>0.5416666666666666</v>
      </c>
      <c r="C128" s="4" t="s">
        <v>14</v>
      </c>
      <c r="D128" s="18" t="s">
        <v>192</v>
      </c>
      <c r="E128" s="4" t="s">
        <v>114</v>
      </c>
      <c r="F128" s="20">
        <v>20.0</v>
      </c>
      <c r="G128" s="21" t="str">
        <f>HYPERLINK("https://www.maker-hub.ca/service-page/mask-making", "Website")</f>
        <v>Website</v>
      </c>
    </row>
    <row r="129">
      <c r="A129" s="7">
        <v>45766.0</v>
      </c>
      <c r="B129" s="8">
        <v>0.6666666666666666</v>
      </c>
      <c r="C129" s="9" t="s">
        <v>193</v>
      </c>
      <c r="D129" s="16" t="s">
        <v>194</v>
      </c>
      <c r="E129" s="9" t="s">
        <v>44</v>
      </c>
      <c r="F129" s="22">
        <v>18.0</v>
      </c>
      <c r="G129" s="23" t="s">
        <v>195</v>
      </c>
    </row>
    <row r="130">
      <c r="A130" s="2">
        <v>45766.0</v>
      </c>
      <c r="B130" s="12">
        <v>0.7291666666666666</v>
      </c>
      <c r="C130" s="4" t="s">
        <v>45</v>
      </c>
      <c r="D130" s="4" t="s">
        <v>46</v>
      </c>
      <c r="E130" s="4" t="s">
        <v>47</v>
      </c>
      <c r="F130" s="5" t="s">
        <v>48</v>
      </c>
      <c r="G130" s="6" t="str">
        <f>HYPERLINK("https://www.mcsweeneytheatreco.com/", "Website")</f>
        <v>Website</v>
      </c>
    </row>
    <row r="131">
      <c r="A131" s="7">
        <v>45766.0</v>
      </c>
      <c r="B131" s="8">
        <v>0.7916666666666666</v>
      </c>
      <c r="C131" s="9" t="s">
        <v>119</v>
      </c>
      <c r="D131" s="9" t="s">
        <v>196</v>
      </c>
      <c r="E131" s="9" t="s">
        <v>121</v>
      </c>
      <c r="F131" s="10" t="s">
        <v>122</v>
      </c>
      <c r="G131" s="11" t="str">
        <f>HYPERLINK("https://www.eventbrite.ca/e/tri-city-tide-vs-tri-state-admirals-19042025-tickets-1250799257249", "Tickets")</f>
        <v>Tickets</v>
      </c>
    </row>
    <row r="132">
      <c r="A132" s="2">
        <v>45766.0</v>
      </c>
      <c r="B132" s="12">
        <v>0.8125</v>
      </c>
      <c r="C132" s="4" t="s">
        <v>38</v>
      </c>
      <c r="D132" s="4" t="s">
        <v>197</v>
      </c>
      <c r="E132" s="4" t="s">
        <v>53</v>
      </c>
      <c r="F132" s="5">
        <v>67.0</v>
      </c>
      <c r="G132" s="6" t="str">
        <f>HYPERLINK("https://capitol.tuxedobillet.com/main/brent-butt/20250419193000", "Limited")</f>
        <v>Limited</v>
      </c>
    </row>
    <row r="133">
      <c r="A133" s="7">
        <v>45766.0</v>
      </c>
      <c r="B133" s="8">
        <v>0.8333333333333334</v>
      </c>
      <c r="C133" s="9" t="s">
        <v>198</v>
      </c>
      <c r="D133" s="17" t="s">
        <v>199</v>
      </c>
      <c r="E133" s="9" t="s">
        <v>34</v>
      </c>
      <c r="F133" s="10" t="s">
        <v>200</v>
      </c>
      <c r="G133" s="11" t="str">
        <f>HYPERLINK("https://www.facebook.com/share/p/1AEAqkt3ka/", "Facebook")</f>
        <v>Facebook</v>
      </c>
    </row>
    <row r="134">
      <c r="A134" s="2">
        <v>45766.0</v>
      </c>
      <c r="B134" s="12">
        <v>0.875</v>
      </c>
      <c r="C134" s="4" t="s">
        <v>201</v>
      </c>
      <c r="D134" s="4" t="s">
        <v>202</v>
      </c>
      <c r="E134" s="4" t="s">
        <v>203</v>
      </c>
      <c r="F134" s="5" t="s">
        <v>204</v>
      </c>
      <c r="G134" s="6" t="str">
        <f>HYPERLINK("https://www.eventbrite.ca/e/studio54-revisited-tickets-1256105257639", "Tickets")</f>
        <v>Tickets</v>
      </c>
    </row>
    <row r="135">
      <c r="A135" s="7">
        <v>45766.0</v>
      </c>
      <c r="B135" s="8">
        <v>0.9166666666666666</v>
      </c>
      <c r="C135" s="9" t="s">
        <v>27</v>
      </c>
      <c r="D135" s="17" t="s">
        <v>205</v>
      </c>
      <c r="E135" s="9" t="s">
        <v>41</v>
      </c>
      <c r="F135" s="10" t="s">
        <v>35</v>
      </c>
      <c r="G135" s="11" t="str">
        <f>HYPERLINK("https://greatcanadian.com/event/hub-city-pub-free-live-music/", "Website")</f>
        <v>Website</v>
      </c>
    </row>
    <row r="136">
      <c r="A136" s="2">
        <v>45767.0</v>
      </c>
      <c r="B136" s="12">
        <v>0.875</v>
      </c>
      <c r="C136" s="4" t="s">
        <v>201</v>
      </c>
      <c r="D136" s="4" t="s">
        <v>206</v>
      </c>
      <c r="E136" s="4" t="s">
        <v>203</v>
      </c>
      <c r="F136" s="5" t="s">
        <v>204</v>
      </c>
      <c r="G136" s="6" t="str">
        <f>HYPERLINK("https://www.eventbrite.ca/e/studio-54-future-edition-tickets-1256133070829", "Tickets")</f>
        <v>Tickets</v>
      </c>
    </row>
    <row r="137">
      <c r="A137" s="7">
        <v>45768.0</v>
      </c>
      <c r="B137" s="8">
        <v>0.7916666666666666</v>
      </c>
      <c r="C137" s="9" t="s">
        <v>115</v>
      </c>
      <c r="D137" s="9" t="s">
        <v>207</v>
      </c>
      <c r="E137" s="9" t="s">
        <v>117</v>
      </c>
      <c r="F137" s="10" t="s">
        <v>118</v>
      </c>
      <c r="G137" s="11" t="str">
        <f>HYPERLINK("https://www.ticketmaster.ca/moncton-wildcats-vs-drakkar-de-baie-moncton-new-brunswick-04-21-2025/event/3100626B86C7185F", "Tickets")</f>
        <v>Tickets</v>
      </c>
    </row>
    <row r="138">
      <c r="A138" s="2">
        <v>45769.0</v>
      </c>
      <c r="B138" s="12">
        <v>0.7916666666666666</v>
      </c>
      <c r="C138" s="4" t="s">
        <v>115</v>
      </c>
      <c r="D138" s="4" t="s">
        <v>208</v>
      </c>
      <c r="E138" s="4" t="s">
        <v>117</v>
      </c>
      <c r="F138" s="5" t="s">
        <v>118</v>
      </c>
      <c r="G138" s="6" t="str">
        <f>HYPERLINK("https://www.ticketmaster.ca/moncton-wildcats-vs-drakkar-de-baie-moncton-new-brunswick-04-22-2025/event/3100626B86C81861", "Tickets")</f>
        <v>Tickets</v>
      </c>
    </row>
    <row r="139">
      <c r="A139" s="7">
        <v>45770.0</v>
      </c>
      <c r="B139" s="8">
        <v>0.75</v>
      </c>
      <c r="C139" s="9" t="s">
        <v>14</v>
      </c>
      <c r="D139" s="9" t="s">
        <v>209</v>
      </c>
      <c r="E139" s="9" t="s">
        <v>16</v>
      </c>
      <c r="F139" s="10" t="s">
        <v>210</v>
      </c>
      <c r="G139" s="11" t="str">
        <f>HYPERLINK("https://centredesartsdieppe.tuxedobillet.com/main/sculpture-sur-bois/20250129180000", "Tickets")</f>
        <v>Tickets</v>
      </c>
    </row>
    <row r="140">
      <c r="A140" s="2">
        <v>45770.0</v>
      </c>
      <c r="B140" s="12">
        <v>0.7916666666666666</v>
      </c>
      <c r="C140" s="4" t="s">
        <v>211</v>
      </c>
      <c r="D140" s="4" t="s">
        <v>19</v>
      </c>
      <c r="E140" s="4" t="s">
        <v>16</v>
      </c>
      <c r="F140" s="5">
        <v>23.0</v>
      </c>
      <c r="G140" s="6" t="str">
        <f>HYPERLINK("https://centredesartsdieppe.ca/en/programming/show/lio-saison-10", "Website")</f>
        <v>Website</v>
      </c>
    </row>
    <row r="141">
      <c r="A141" s="7">
        <v>45770.0</v>
      </c>
      <c r="B141" s="8">
        <v>0.7916666666666666</v>
      </c>
      <c r="C141" s="9" t="s">
        <v>20</v>
      </c>
      <c r="D141" s="9" t="s">
        <v>21</v>
      </c>
      <c r="E141" s="9" t="s">
        <v>22</v>
      </c>
      <c r="F141" s="10" t="s">
        <v>23</v>
      </c>
      <c r="G141" s="11" t="str">
        <f>HYPERLINK("https://riverviewlionsclub.ca/bingo/", "Website")</f>
        <v>Website</v>
      </c>
    </row>
    <row r="142">
      <c r="A142" s="2">
        <v>45770.0</v>
      </c>
      <c r="B142" s="12">
        <v>0.7916666666666666</v>
      </c>
      <c r="C142" s="4" t="s">
        <v>24</v>
      </c>
      <c r="D142" s="4" t="s">
        <v>25</v>
      </c>
      <c r="E142" s="4" t="s">
        <v>26</v>
      </c>
      <c r="F142" s="5">
        <v>7.0</v>
      </c>
      <c r="G142" s="6" t="str">
        <f>HYPERLINK("https://www.royalcanadianlegionbranch6moncton.com/", "Website")</f>
        <v>Website</v>
      </c>
    </row>
    <row r="143">
      <c r="A143" s="7">
        <v>45770.0</v>
      </c>
      <c r="B143" s="8">
        <v>0.8125</v>
      </c>
      <c r="C143" s="9" t="s">
        <v>38</v>
      </c>
      <c r="D143" s="9" t="s">
        <v>212</v>
      </c>
      <c r="E143" s="9" t="s">
        <v>213</v>
      </c>
      <c r="F143" s="10">
        <v>30.0</v>
      </c>
      <c r="G143" s="11" t="str">
        <f>HYPERLINK("https://www.facebook.com/share/p/12CcyYNEa7h/", "Facebook")</f>
        <v>Facebook</v>
      </c>
    </row>
    <row r="144">
      <c r="A144" s="2">
        <v>45771.0</v>
      </c>
      <c r="B144" s="12">
        <v>0.7916666666666666</v>
      </c>
      <c r="C144" s="4" t="s">
        <v>54</v>
      </c>
      <c r="D144" s="4" t="s">
        <v>214</v>
      </c>
      <c r="E144" s="4" t="s">
        <v>87</v>
      </c>
      <c r="F144" s="5">
        <v>70.0</v>
      </c>
      <c r="G144" s="6" t="str">
        <f>HYPERLINK("https://riverviewartscentre.tuxedobillet.com/main/carroll-baker-one-final-tour/20250424190000", "Popular")</f>
        <v>Popular</v>
      </c>
    </row>
    <row r="145">
      <c r="A145" s="7">
        <v>45771.0</v>
      </c>
      <c r="B145" s="8">
        <v>0.8125</v>
      </c>
      <c r="C145" s="9" t="s">
        <v>27</v>
      </c>
      <c r="D145" s="9" t="s">
        <v>215</v>
      </c>
      <c r="E145" s="9" t="s">
        <v>51</v>
      </c>
      <c r="F145" s="10">
        <v>17.0</v>
      </c>
      <c r="G145" s="11" t="str">
        <f>HYPERLINK("https://monumentlefebvre.tuxedobillet.com/main/ecarlate-coup-de-soleil/20250424193000", "Tickets")</f>
        <v>Tickets</v>
      </c>
    </row>
    <row r="146">
      <c r="A146" s="2">
        <v>45771.0</v>
      </c>
      <c r="B146" s="12">
        <v>0.8333333333333334</v>
      </c>
      <c r="C146" s="4" t="s">
        <v>216</v>
      </c>
      <c r="D146" s="4" t="s">
        <v>217</v>
      </c>
      <c r="E146" s="4" t="s">
        <v>218</v>
      </c>
      <c r="F146" s="5">
        <v>5.0</v>
      </c>
      <c r="G146" s="6" t="str">
        <f>HYPERLINK("https://events.frye.ca/sites/frye/en/frye-festival/schedule/10471/Frye%20Trivia", "Info")</f>
        <v>Info</v>
      </c>
    </row>
    <row r="147">
      <c r="A147" s="7">
        <v>45771.0</v>
      </c>
      <c r="B147" s="8">
        <v>0.875</v>
      </c>
      <c r="C147" s="9" t="s">
        <v>27</v>
      </c>
      <c r="D147" s="9" t="s">
        <v>219</v>
      </c>
      <c r="E147" s="9" t="s">
        <v>41</v>
      </c>
      <c r="F147" s="10" t="s">
        <v>35</v>
      </c>
      <c r="G147" s="11" t="str">
        <f>HYPERLINK("https://greatcanadian.com/event/hub-city-pub-free-live-music/", "Website")</f>
        <v>Website</v>
      </c>
    </row>
    <row r="148">
      <c r="A148" s="2">
        <v>45771.0</v>
      </c>
      <c r="B148" s="12">
        <v>0.875</v>
      </c>
      <c r="C148" s="4" t="s">
        <v>220</v>
      </c>
      <c r="D148" s="4" t="s">
        <v>221</v>
      </c>
      <c r="E148" s="4" t="s">
        <v>34</v>
      </c>
      <c r="F148" s="5">
        <v>8.0</v>
      </c>
      <c r="G148" s="19"/>
    </row>
    <row r="149">
      <c r="A149" s="7">
        <v>45772.0</v>
      </c>
      <c r="B149" s="8">
        <v>0.5833333333333334</v>
      </c>
      <c r="C149" s="9" t="s">
        <v>222</v>
      </c>
      <c r="D149" s="9" t="s">
        <v>223</v>
      </c>
      <c r="E149" s="9" t="s">
        <v>44</v>
      </c>
      <c r="F149" s="10">
        <v>17.0</v>
      </c>
      <c r="G149" s="11" t="str">
        <f>HYPERLINK("https://radicalspeedsport.com/", "Website")</f>
        <v>Website</v>
      </c>
    </row>
    <row r="150">
      <c r="A150" s="2">
        <v>45772.0</v>
      </c>
      <c r="B150" s="12">
        <v>0.7291666666666666</v>
      </c>
      <c r="C150" s="4" t="s">
        <v>216</v>
      </c>
      <c r="D150" s="4" t="s">
        <v>224</v>
      </c>
      <c r="E150" s="4" t="s">
        <v>29</v>
      </c>
      <c r="F150" s="5" t="s">
        <v>35</v>
      </c>
      <c r="G150" s="6" t="str">
        <f>HYPERLINK("https://events.frye.ca/sites/frye/en/frye-festival/schedule/10474/Official%20Opening", "Info")</f>
        <v>Info</v>
      </c>
    </row>
    <row r="151">
      <c r="A151" s="7">
        <v>45772.0</v>
      </c>
      <c r="B151" s="8">
        <v>0.75</v>
      </c>
      <c r="C151" s="9" t="s">
        <v>14</v>
      </c>
      <c r="D151" s="9" t="s">
        <v>225</v>
      </c>
      <c r="E151" s="9" t="s">
        <v>16</v>
      </c>
      <c r="F151" s="10" t="s">
        <v>226</v>
      </c>
      <c r="G151" s="11" t="str">
        <f>HYPERLINK("https://centredesartsdieppe.tuxedobillet.com/main/mugs-et-merlot/20250418180000", "Sold Out")</f>
        <v>Sold Out</v>
      </c>
    </row>
    <row r="152">
      <c r="A152" s="2">
        <v>45772.0</v>
      </c>
      <c r="B152" s="12">
        <v>0.7916666666666666</v>
      </c>
      <c r="C152" s="4" t="s">
        <v>227</v>
      </c>
      <c r="D152" s="4" t="s">
        <v>228</v>
      </c>
      <c r="E152" s="4" t="s">
        <v>53</v>
      </c>
      <c r="F152" s="5">
        <v>51.0</v>
      </c>
      <c r="G152" s="6" t="str">
        <f>HYPERLINK("https://capitol.tuxedobillet.com/main/ballet-jorgen/20250425190000", "Popular")</f>
        <v>Popular</v>
      </c>
    </row>
    <row r="153">
      <c r="A153" s="7">
        <v>45772.0</v>
      </c>
      <c r="B153" s="8">
        <v>0.8125</v>
      </c>
      <c r="C153" s="9" t="s">
        <v>99</v>
      </c>
      <c r="D153" s="9" t="s">
        <v>229</v>
      </c>
      <c r="E153" s="9" t="s">
        <v>117</v>
      </c>
      <c r="F153" s="10" t="s">
        <v>230</v>
      </c>
      <c r="G153" s="11" t="str">
        <f>HYPERLINK("https://www.ticketmaster.ca/chicago-the-musical-moncton-new-brunswick-04-25-2025/event/3100622F927D25EB", "Limited")</f>
        <v>Limited</v>
      </c>
    </row>
    <row r="154">
      <c r="A154" s="2">
        <v>45772.0</v>
      </c>
      <c r="B154" s="12">
        <v>0.8125</v>
      </c>
      <c r="C154" s="4" t="s">
        <v>231</v>
      </c>
      <c r="D154" s="4" t="s">
        <v>232</v>
      </c>
      <c r="E154" s="4" t="s">
        <v>13</v>
      </c>
      <c r="F154" s="5">
        <v>25.0</v>
      </c>
      <c r="G154" s="6" t="str">
        <f>HYPERLINK("https://escaouette.tuxedobillet.com/main/clue/20250425193000", "Tickets")</f>
        <v>Tickets</v>
      </c>
    </row>
    <row r="155">
      <c r="A155" s="7">
        <v>45772.0</v>
      </c>
      <c r="B155" s="8">
        <v>0.8333333333333334</v>
      </c>
      <c r="C155" s="9" t="s">
        <v>216</v>
      </c>
      <c r="D155" s="9" t="s">
        <v>233</v>
      </c>
      <c r="E155" s="9" t="s">
        <v>29</v>
      </c>
      <c r="F155" s="10">
        <v>15.0</v>
      </c>
      <c r="G155" s="11" t="str">
        <f>HYPERLINK("https://events.frye.ca/sites/frye/en/frye-festival/schedule/10477/Frye%20Fever", "Info")</f>
        <v>Info</v>
      </c>
    </row>
    <row r="156">
      <c r="A156" s="2">
        <v>45772.0</v>
      </c>
      <c r="B156" s="12">
        <v>0.875</v>
      </c>
      <c r="C156" s="4" t="s">
        <v>220</v>
      </c>
      <c r="D156" s="4" t="s">
        <v>234</v>
      </c>
      <c r="E156" s="4" t="s">
        <v>34</v>
      </c>
      <c r="F156" s="5">
        <v>15.0</v>
      </c>
      <c r="G156" s="6" t="str">
        <f>HYPERLINK("https://www.facebook.com/events/1787445822019677/", "Facebook")</f>
        <v>Facebook</v>
      </c>
    </row>
    <row r="157">
      <c r="A157" s="7">
        <v>45772.0</v>
      </c>
      <c r="B157" s="8">
        <v>0.9166666666666666</v>
      </c>
      <c r="C157" s="9" t="s">
        <v>27</v>
      </c>
      <c r="D157" s="17" t="s">
        <v>235</v>
      </c>
      <c r="E157" s="9" t="s">
        <v>41</v>
      </c>
      <c r="F157" s="10" t="s">
        <v>35</v>
      </c>
      <c r="G157" s="11" t="str">
        <f>HYPERLINK("https://greatcanadian.com/event/hub-city-pub-free-live-music/", "Website")</f>
        <v>Website</v>
      </c>
    </row>
    <row r="158">
      <c r="A158" s="2">
        <v>45772.0</v>
      </c>
      <c r="B158" s="12">
        <v>0.9166666666666666</v>
      </c>
      <c r="C158" s="4" t="s">
        <v>124</v>
      </c>
      <c r="D158" s="4" t="s">
        <v>236</v>
      </c>
      <c r="E158" s="4" t="s">
        <v>82</v>
      </c>
      <c r="F158" s="5" t="s">
        <v>76</v>
      </c>
      <c r="G158" s="6" t="str">
        <f>HYPERLINK("https://www.tickettailor.com/events/tideandboargastropubinc/1640534", "Tickets")</f>
        <v>Tickets</v>
      </c>
    </row>
    <row r="159">
      <c r="A159" s="7">
        <v>45773.0</v>
      </c>
      <c r="B159" s="8">
        <v>0.4166666666666667</v>
      </c>
      <c r="C159" s="9" t="s">
        <v>14</v>
      </c>
      <c r="D159" s="9" t="s">
        <v>237</v>
      </c>
      <c r="E159" s="9" t="s">
        <v>16</v>
      </c>
      <c r="F159" s="10" t="s">
        <v>238</v>
      </c>
      <c r="G159" s="11" t="str">
        <f>HYPERLINK("https://centredesartsdieppe.tuxedobillet.com/main/dessin-avril-2025/20250405100000", "Tickets")</f>
        <v>Tickets</v>
      </c>
    </row>
    <row r="160">
      <c r="A160" s="2">
        <v>45773.0</v>
      </c>
      <c r="B160" s="12">
        <v>0.4166666666666667</v>
      </c>
      <c r="C160" s="4" t="s">
        <v>239</v>
      </c>
      <c r="D160" s="4" t="s">
        <v>240</v>
      </c>
      <c r="E160" s="4" t="s">
        <v>16</v>
      </c>
      <c r="F160" s="5" t="s">
        <v>241</v>
      </c>
      <c r="G160" s="6" t="str">
        <f>HYPERLINK("https://centredesartsdieppe.tuxedobillet.com/main/ateliers-de-couture-ados-adultes/20250329100000", "Tickets")</f>
        <v>Tickets</v>
      </c>
    </row>
    <row r="161">
      <c r="A161" s="7">
        <v>45773.0</v>
      </c>
      <c r="B161" s="8">
        <v>0.4166666666666667</v>
      </c>
      <c r="C161" s="9" t="s">
        <v>222</v>
      </c>
      <c r="D161" s="9" t="s">
        <v>223</v>
      </c>
      <c r="E161" s="9" t="s">
        <v>44</v>
      </c>
      <c r="F161" s="10">
        <v>17.0</v>
      </c>
      <c r="G161" s="11" t="str">
        <f>HYPERLINK("https://radicalspeedsport.com/", "Website")</f>
        <v>Website</v>
      </c>
    </row>
    <row r="162">
      <c r="A162" s="2">
        <v>45773.0</v>
      </c>
      <c r="B162" s="12">
        <v>0.5</v>
      </c>
      <c r="C162" s="4" t="s">
        <v>14</v>
      </c>
      <c r="D162" s="4" t="s">
        <v>242</v>
      </c>
      <c r="E162" s="4" t="s">
        <v>16</v>
      </c>
      <c r="F162" s="5">
        <v>58.0</v>
      </c>
      <c r="G162" s="6" t="str">
        <f>HYPERLINK("https://centredesartsdieppe.tuxedobillet.com/main/atelier-de-creation-dun-tote-bag/20250426120000", "Tickets")</f>
        <v>Tickets</v>
      </c>
    </row>
    <row r="163">
      <c r="A163" s="7">
        <v>45773.0</v>
      </c>
      <c r="B163" s="8">
        <v>0.5416666666666666</v>
      </c>
      <c r="C163" s="9" t="s">
        <v>216</v>
      </c>
      <c r="D163" s="9" t="s">
        <v>243</v>
      </c>
      <c r="E163" s="9" t="s">
        <v>29</v>
      </c>
      <c r="F163" s="10">
        <v>10.0</v>
      </c>
      <c r="G163" s="11" t="str">
        <f>HYPERLINK("https://events.frye.ca/sites/frye/en/frye-festival/schedule/10573/D%C3%A9chirures%20et%20enracinement", "Info")</f>
        <v>Info</v>
      </c>
    </row>
    <row r="164">
      <c r="A164" s="2">
        <v>45773.0</v>
      </c>
      <c r="B164" s="12">
        <v>0.5833333333333334</v>
      </c>
      <c r="C164" s="4" t="s">
        <v>99</v>
      </c>
      <c r="D164" s="4" t="s">
        <v>244</v>
      </c>
      <c r="E164" s="4" t="s">
        <v>117</v>
      </c>
      <c r="F164" s="5" t="s">
        <v>230</v>
      </c>
      <c r="G164" s="6" t="str">
        <f>HYPERLINK("https://www.ticketmaster.ca/chicago-the-musical-moncton-new-brunswick-04-26-2025/event/3100622EC28422D6", "Limited")</f>
        <v>Limited</v>
      </c>
    </row>
    <row r="165">
      <c r="A165" s="7">
        <v>45773.0</v>
      </c>
      <c r="B165" s="8">
        <v>0.625</v>
      </c>
      <c r="C165" s="9" t="s">
        <v>216</v>
      </c>
      <c r="D165" s="9" t="s">
        <v>245</v>
      </c>
      <c r="E165" s="9" t="s">
        <v>29</v>
      </c>
      <c r="F165" s="10">
        <v>10.0</v>
      </c>
      <c r="G165" s="11" t="str">
        <f>HYPERLINK("https://events.frye.ca/sites/frye/en/frye-festival/schedule/10576/%20The%20Paris%20Express", "Info")</f>
        <v>Info</v>
      </c>
    </row>
    <row r="166">
      <c r="A166" s="2">
        <v>45773.0</v>
      </c>
      <c r="B166" s="12">
        <v>0.625</v>
      </c>
      <c r="C166" s="4" t="s">
        <v>216</v>
      </c>
      <c r="D166" s="4" t="s">
        <v>246</v>
      </c>
      <c r="E166" s="4" t="s">
        <v>247</v>
      </c>
      <c r="F166" s="5" t="s">
        <v>35</v>
      </c>
      <c r="G166" s="6" t="str">
        <f>HYPERLINK("https://events.frye.ca/sites/frye/en/frye-festival/schedule/10579/In%20Conversation%20with%20Atlantic%20Arab%20Authors", "Info")</f>
        <v>Info</v>
      </c>
    </row>
    <row r="167">
      <c r="A167" s="7">
        <v>45773.0</v>
      </c>
      <c r="B167" s="8">
        <v>0.7291666666666666</v>
      </c>
      <c r="C167" s="9" t="s">
        <v>216</v>
      </c>
      <c r="D167" s="9" t="s">
        <v>248</v>
      </c>
      <c r="E167" s="9" t="s">
        <v>29</v>
      </c>
      <c r="F167" s="10" t="s">
        <v>35</v>
      </c>
      <c r="G167" s="11" t="str">
        <f>HYPERLINK("https://events.frye.ca/sites/frye/en/frye-festival/schedule/10582/Apr%C3%A8s-coup%28s%29", "Info")</f>
        <v>Info</v>
      </c>
    </row>
    <row r="168">
      <c r="A168" s="2">
        <v>45773.0</v>
      </c>
      <c r="B168" s="12">
        <v>0.7916666666666666</v>
      </c>
      <c r="C168" s="4" t="s">
        <v>216</v>
      </c>
      <c r="D168" s="4" t="s">
        <v>249</v>
      </c>
      <c r="E168" s="4" t="s">
        <v>29</v>
      </c>
      <c r="F168" s="5">
        <v>10.0</v>
      </c>
      <c r="G168" s="6" t="str">
        <f>HYPERLINK("https://events.frye.ca/sites/frye/en/frye-festival/schedule/10585/Beyond%20the%20Book", "Info")</f>
        <v>Info</v>
      </c>
    </row>
    <row r="169">
      <c r="A169" s="7">
        <v>45773.0</v>
      </c>
      <c r="B169" s="8">
        <v>0.7916666666666666</v>
      </c>
      <c r="C169" s="9" t="s">
        <v>119</v>
      </c>
      <c r="D169" s="9" t="s">
        <v>250</v>
      </c>
      <c r="E169" s="9" t="s">
        <v>121</v>
      </c>
      <c r="F169" s="10" t="s">
        <v>122</v>
      </c>
      <c r="G169" s="11" t="str">
        <f>HYPERLINK("https://www.eventbrite.ca/e/tri-city-tide-vs-albany-patroons-26042025-tickets-1250801303369", "Tickets")</f>
        <v>Tickets</v>
      </c>
    </row>
    <row r="170">
      <c r="A170" s="2">
        <v>45773.0</v>
      </c>
      <c r="B170" s="12">
        <v>0.8125</v>
      </c>
      <c r="C170" s="4" t="s">
        <v>99</v>
      </c>
      <c r="D170" s="4" t="s">
        <v>251</v>
      </c>
      <c r="E170" s="4" t="s">
        <v>117</v>
      </c>
      <c r="F170" s="5" t="s">
        <v>230</v>
      </c>
      <c r="G170" s="6" t="str">
        <f>HYPERLINK("https://www.ticketmaster.ca/chicago-the-musical-moncton-new-brunswick-04-26-2025/event/3100622F927F25FD", "Low")</f>
        <v>Low</v>
      </c>
    </row>
    <row r="171">
      <c r="A171" s="7">
        <v>45773.0</v>
      </c>
      <c r="B171" s="8">
        <v>0.8125</v>
      </c>
      <c r="C171" s="9" t="s">
        <v>231</v>
      </c>
      <c r="D171" s="9" t="s">
        <v>232</v>
      </c>
      <c r="E171" s="9" t="s">
        <v>13</v>
      </c>
      <c r="F171" s="10">
        <v>25.0</v>
      </c>
      <c r="G171" s="11" t="str">
        <f>HYPERLINK("https://escaouette.tuxedobillet.com/main/clue/20250426193000", "Tickets")</f>
        <v>Tickets</v>
      </c>
    </row>
    <row r="172">
      <c r="A172" s="2">
        <v>45773.0</v>
      </c>
      <c r="B172" s="12">
        <v>0.8333333333333334</v>
      </c>
      <c r="C172" s="4" t="s">
        <v>220</v>
      </c>
      <c r="D172" s="18" t="s">
        <v>252</v>
      </c>
      <c r="E172" s="4" t="s">
        <v>203</v>
      </c>
      <c r="F172" s="5">
        <v>23.0</v>
      </c>
      <c r="G172" s="6" t="str">
        <f>HYPERLINK("https://www.eventbrite.ca/e/heksenketel-presents-road-apples-a-tribute-to-the-tragically-hip-tickets-1246599154629", "Tickets")</f>
        <v>Tickets</v>
      </c>
    </row>
    <row r="173">
      <c r="A173" s="7">
        <v>45773.0</v>
      </c>
      <c r="B173" s="8">
        <v>0.875</v>
      </c>
      <c r="C173" s="9" t="s">
        <v>182</v>
      </c>
      <c r="D173" s="9" t="s">
        <v>253</v>
      </c>
      <c r="E173" s="9" t="s">
        <v>34</v>
      </c>
      <c r="F173" s="10"/>
      <c r="G173" s="14"/>
    </row>
    <row r="174">
      <c r="A174" s="2">
        <v>45773.0</v>
      </c>
      <c r="B174" s="12">
        <v>0.9166666666666666</v>
      </c>
      <c r="C174" s="4" t="s">
        <v>27</v>
      </c>
      <c r="D174" s="4" t="s">
        <v>254</v>
      </c>
      <c r="E174" s="4" t="s">
        <v>82</v>
      </c>
      <c r="F174" s="5" t="s">
        <v>255</v>
      </c>
      <c r="G174" s="6" t="str">
        <f>HYPERLINK("https://www.tickettailor.com/events/tideandboargastropubinc/1671064", "Tickets")</f>
        <v>Tickets</v>
      </c>
    </row>
    <row r="175">
      <c r="A175" s="7">
        <v>45774.0</v>
      </c>
      <c r="B175" s="8">
        <v>0.375</v>
      </c>
      <c r="C175" s="9" t="s">
        <v>216</v>
      </c>
      <c r="D175" s="9" t="s">
        <v>256</v>
      </c>
      <c r="E175" s="9" t="s">
        <v>29</v>
      </c>
      <c r="F175" s="10" t="s">
        <v>35</v>
      </c>
      <c r="G175" s="11" t="str">
        <f>HYPERLINK("https://events.frye.ca/sites/frye/en/frye-festival/schedule/10666/KidsFest", "Info")</f>
        <v>Info</v>
      </c>
    </row>
    <row r="176">
      <c r="A176" s="2">
        <v>45774.0</v>
      </c>
      <c r="B176" s="12">
        <v>0.4166666666666667</v>
      </c>
      <c r="C176" s="4" t="s">
        <v>222</v>
      </c>
      <c r="D176" s="4" t="s">
        <v>223</v>
      </c>
      <c r="E176" s="4" t="s">
        <v>44</v>
      </c>
      <c r="F176" s="5">
        <v>17.0</v>
      </c>
      <c r="G176" s="6" t="str">
        <f>HYPERLINK("https://radicalspeedsport.com/", "Website")</f>
        <v>Website</v>
      </c>
    </row>
    <row r="177">
      <c r="A177" s="7">
        <v>45774.0</v>
      </c>
      <c r="B177" s="8">
        <v>0.4583333333333333</v>
      </c>
      <c r="C177" s="9" t="s">
        <v>216</v>
      </c>
      <c r="D177" s="9" t="s">
        <v>257</v>
      </c>
      <c r="E177" s="9" t="s">
        <v>29</v>
      </c>
      <c r="F177" s="10">
        <v>10.0</v>
      </c>
      <c r="G177" s="11" t="str">
        <f>HYPERLINK("https://events.frye.ca/sites/frye/en/frye-festival/schedule/10588/When%20Nature%20Goes%20Wild", "Info")</f>
        <v>Info</v>
      </c>
    </row>
    <row r="178">
      <c r="A178" s="2">
        <v>45774.0</v>
      </c>
      <c r="B178" s="12">
        <v>0.5416666666666666</v>
      </c>
      <c r="C178" s="4" t="s">
        <v>216</v>
      </c>
      <c r="D178" s="4" t="s">
        <v>258</v>
      </c>
      <c r="E178" s="4" t="s">
        <v>29</v>
      </c>
      <c r="F178" s="5">
        <v>10.0</v>
      </c>
      <c r="G178" s="6" t="str">
        <f>HYPERLINK("https://events.frye.ca/sites/frye/en/frye-festival/schedule/10591/Who%20Do%20You%20Think%20You%20Are%3F", "Info")</f>
        <v>Info</v>
      </c>
    </row>
    <row r="179">
      <c r="A179" s="24">
        <v>45774.0</v>
      </c>
      <c r="B179" s="8">
        <v>0.5416666666666666</v>
      </c>
      <c r="C179" s="9" t="s">
        <v>99</v>
      </c>
      <c r="D179" s="9" t="s">
        <v>259</v>
      </c>
      <c r="E179" s="9" t="s">
        <v>117</v>
      </c>
      <c r="F179" s="10" t="s">
        <v>230</v>
      </c>
      <c r="G179" s="11" t="str">
        <f>HYPERLINK("https://www.ticketmaster.ca/chicago-the-musical-moncton-new-brunswick-04-27-2025/event/3100622EC28722E4", "Popular")</f>
        <v>Popular</v>
      </c>
    </row>
    <row r="180">
      <c r="A180" s="2">
        <v>45774.0</v>
      </c>
      <c r="B180" s="12">
        <v>0.625</v>
      </c>
      <c r="C180" s="4" t="s">
        <v>216</v>
      </c>
      <c r="D180" s="4" t="s">
        <v>260</v>
      </c>
      <c r="E180" s="4" t="s">
        <v>29</v>
      </c>
      <c r="F180" s="5">
        <v>15.0</v>
      </c>
      <c r="G180" s="6" t="str">
        <f>HYPERLINK("https://events.frye.ca/sites/frye/en/frye-festival/schedule/10594/Tea%20Time", "Info")</f>
        <v>Info</v>
      </c>
    </row>
    <row r="181">
      <c r="A181" s="7">
        <v>45774.0</v>
      </c>
      <c r="B181" s="8">
        <v>0.625</v>
      </c>
      <c r="C181" s="9" t="s">
        <v>119</v>
      </c>
      <c r="D181" s="9" t="s">
        <v>250</v>
      </c>
      <c r="E181" s="9" t="s">
        <v>121</v>
      </c>
      <c r="F181" s="10" t="s">
        <v>122</v>
      </c>
      <c r="G181" s="11" t="str">
        <f>HYPERLINK("https://www.eventbrite.ca/e/tri-city-tide-vs-albany-patroons-27042025-tickets-1250802045589", "Tickets")</f>
        <v>Tickets</v>
      </c>
    </row>
    <row r="182">
      <c r="A182" s="2">
        <v>45774.0</v>
      </c>
      <c r="B182" s="12">
        <v>0.75</v>
      </c>
      <c r="C182" s="4" t="s">
        <v>216</v>
      </c>
      <c r="D182" s="4" t="s">
        <v>261</v>
      </c>
      <c r="E182" s="4" t="s">
        <v>29</v>
      </c>
      <c r="F182" s="5" t="s">
        <v>35</v>
      </c>
      <c r="G182" s="6" t="str">
        <f>HYPERLINK("https://events.frye.ca/sites/frye/en/frye-festival/schedule/10597/Whispers%20of%20Love%3A%20A%20Tribute%20to%20Nizar%20Qabbani", "Info")</f>
        <v>Info</v>
      </c>
    </row>
    <row r="183">
      <c r="A183" s="7">
        <v>45774.0</v>
      </c>
      <c r="B183" s="8">
        <v>0.75</v>
      </c>
      <c r="C183" s="9" t="s">
        <v>77</v>
      </c>
      <c r="D183" s="9" t="s">
        <v>262</v>
      </c>
      <c r="E183" s="9" t="s">
        <v>148</v>
      </c>
      <c r="F183" s="10" t="s">
        <v>263</v>
      </c>
      <c r="G183" s="11" t="str">
        <f>HYPERLINK("https://www.ticketmaster.ca/event/31006187D9154A58", "Limited")</f>
        <v>Limited</v>
      </c>
    </row>
    <row r="184">
      <c r="A184" s="2">
        <v>45774.0</v>
      </c>
      <c r="B184" s="12">
        <v>0.7708333333333334</v>
      </c>
      <c r="C184" s="4" t="s">
        <v>99</v>
      </c>
      <c r="D184" s="4" t="s">
        <v>264</v>
      </c>
      <c r="E184" s="4" t="s">
        <v>117</v>
      </c>
      <c r="F184" s="5" t="s">
        <v>230</v>
      </c>
      <c r="G184" s="6" t="str">
        <f>HYPERLINK("https://www.ticketmaster.ca/chicago-the-musical-moncton-new-brunswick-04-25-2025/event/3100622F927D25EB", "Popular")</f>
        <v>Popular</v>
      </c>
    </row>
    <row r="185">
      <c r="A185" s="7">
        <v>45774.0</v>
      </c>
      <c r="B185" s="8">
        <v>0.8125</v>
      </c>
      <c r="C185" s="9" t="s">
        <v>231</v>
      </c>
      <c r="D185" s="9" t="s">
        <v>232</v>
      </c>
      <c r="E185" s="9" t="s">
        <v>13</v>
      </c>
      <c r="F185" s="10">
        <v>25.0</v>
      </c>
      <c r="G185" s="11" t="str">
        <f>HYPERLINK("https://escaouette.tuxedobillet.com/main/clue/20250427140000", "Tickets")</f>
        <v>Tickets</v>
      </c>
    </row>
    <row r="186">
      <c r="A186" s="2">
        <v>45775.0</v>
      </c>
      <c r="B186" s="12">
        <v>0.4895833333333333</v>
      </c>
      <c r="C186" s="4" t="s">
        <v>216</v>
      </c>
      <c r="D186" s="4" t="s">
        <v>265</v>
      </c>
      <c r="E186" s="4" t="s">
        <v>266</v>
      </c>
      <c r="F186" s="5">
        <v>40.0</v>
      </c>
      <c r="G186" s="6" t="str">
        <f>HYPERLINK("https://events.frye.ca/sites/frye/en/frye-festival/schedule/10600/Lunch%20litt%C3%A9raire%3A%20Rue%20Duplessis", "Info")</f>
        <v>Info</v>
      </c>
    </row>
    <row r="187">
      <c r="A187" s="7">
        <v>45775.0</v>
      </c>
      <c r="B187" s="8">
        <v>0.75</v>
      </c>
      <c r="C187" s="9" t="s">
        <v>216</v>
      </c>
      <c r="D187" s="9" t="s">
        <v>267</v>
      </c>
      <c r="E187" s="9" t="s">
        <v>29</v>
      </c>
      <c r="F187" s="10">
        <v>10.0</v>
      </c>
      <c r="G187" s="11" t="str">
        <f>HYPERLINK("https://events.frye.ca/sites/frye/en/frye-festival/schedule/10603/La%20Louisiane", "Info")</f>
        <v>Info</v>
      </c>
    </row>
    <row r="188">
      <c r="A188" s="2">
        <v>45775.0</v>
      </c>
      <c r="B188" s="12">
        <v>0.7916666666666666</v>
      </c>
      <c r="C188" s="4" t="s">
        <v>88</v>
      </c>
      <c r="D188" s="4" t="s">
        <v>89</v>
      </c>
      <c r="E188" s="4" t="s">
        <v>56</v>
      </c>
      <c r="F188" s="5" t="s">
        <v>35</v>
      </c>
      <c r="G188" s="6" t="str">
        <f>HYPERLINK("https://www.facebook.com/groups/1871694373299779", "Facebook")</f>
        <v>Facebook</v>
      </c>
    </row>
    <row r="189">
      <c r="A189" s="7">
        <v>45775.0</v>
      </c>
      <c r="B189" s="8">
        <v>0.8125</v>
      </c>
      <c r="C189" s="9" t="s">
        <v>216</v>
      </c>
      <c r="D189" s="9" t="s">
        <v>268</v>
      </c>
      <c r="E189" s="9" t="s">
        <v>29</v>
      </c>
      <c r="F189" s="10">
        <v>12.0</v>
      </c>
      <c r="G189" s="11" t="str">
        <f>HYPERLINK("https://events.frye.ca/sites/frye/en/frye-festival/schedule/10606/De%20Pr%C3%A9f%C3%A9rence%20la%20Nuit%20%3A%20Spectacle%20litt%C3%A9raire", "Info")</f>
        <v>Info</v>
      </c>
    </row>
    <row r="190">
      <c r="A190" s="2">
        <v>45776.0</v>
      </c>
      <c r="B190" s="12">
        <v>0.4895833333333333</v>
      </c>
      <c r="C190" s="4" t="s">
        <v>216</v>
      </c>
      <c r="D190" s="4" t="s">
        <v>269</v>
      </c>
      <c r="E190" s="4" t="s">
        <v>266</v>
      </c>
      <c r="F190" s="5">
        <v>40.0</v>
      </c>
      <c r="G190" s="6" t="str">
        <f>HYPERLINK("https://events.frye.ca/sites/frye/en/frye-festival/schedule/10609/Literary%20Lunch%3A%20Full%20of%20Myself", "Info")</f>
        <v>Info</v>
      </c>
    </row>
    <row r="191">
      <c r="A191" s="7">
        <v>45776.0</v>
      </c>
      <c r="B191" s="8">
        <v>0.75</v>
      </c>
      <c r="C191" s="9" t="s">
        <v>216</v>
      </c>
      <c r="D191" s="9" t="s">
        <v>270</v>
      </c>
      <c r="E191" s="9" t="s">
        <v>29</v>
      </c>
      <c r="F191" s="10">
        <v>10.0</v>
      </c>
      <c r="G191" s="11" t="str">
        <f>HYPERLINK("https://events.frye.ca/sites/frye/en/frye-festival/schedule/10612/Lingering%20Threads", "Info")</f>
        <v>Info</v>
      </c>
    </row>
    <row r="192">
      <c r="A192" s="2">
        <v>45776.0</v>
      </c>
      <c r="B192" s="12">
        <v>0.8125</v>
      </c>
      <c r="C192" s="4" t="s">
        <v>216</v>
      </c>
      <c r="D192" s="4" t="s">
        <v>271</v>
      </c>
      <c r="E192" s="4" t="s">
        <v>29</v>
      </c>
      <c r="F192" s="5">
        <v>10.0</v>
      </c>
      <c r="G192" s="6" t="str">
        <f>HYPERLINK("https://events.frye.ca/sites/frye/en/frye-festival/schedule/10615/Draguer%20le%20fond", "Info")</f>
        <v>Info</v>
      </c>
    </row>
    <row r="193">
      <c r="A193" s="7">
        <v>45776.0</v>
      </c>
      <c r="B193" s="8">
        <v>0.8125</v>
      </c>
      <c r="C193" s="9" t="s">
        <v>27</v>
      </c>
      <c r="D193" s="16" t="s">
        <v>272</v>
      </c>
      <c r="E193" s="9" t="s">
        <v>16</v>
      </c>
      <c r="F193" s="10">
        <v>17.0</v>
      </c>
      <c r="G193" s="11" t="str">
        <f>HYPERLINK("https://centredesartsdieppe.tuxedobillet.com/main/quatuor-elysee/20250429193000", "Tickets")</f>
        <v>Tickets</v>
      </c>
    </row>
    <row r="194">
      <c r="A194" s="2">
        <v>45777.0</v>
      </c>
      <c r="B194" s="12">
        <v>0.3854166666666667</v>
      </c>
      <c r="C194" s="4" t="s">
        <v>216</v>
      </c>
      <c r="D194" s="4" t="s">
        <v>273</v>
      </c>
      <c r="E194" s="4" t="s">
        <v>274</v>
      </c>
      <c r="F194" s="5" t="s">
        <v>35</v>
      </c>
      <c r="G194" s="6" t="str">
        <f>HYPERLINK("https://events.frye.ca/sites/frye/en/frye-festival/schedule/10712/Conf%C3%A9rence%20Maillet-Frye%20%3A%20%C3%89crire%20%28dans%29%20la%20d%C3%A9chirure", "Info")</f>
        <v>Info</v>
      </c>
    </row>
    <row r="195">
      <c r="A195" s="7">
        <v>45777.0</v>
      </c>
      <c r="B195" s="8">
        <v>0.4375</v>
      </c>
      <c r="C195" s="9" t="s">
        <v>216</v>
      </c>
      <c r="D195" s="9" t="s">
        <v>275</v>
      </c>
      <c r="E195" s="9" t="s">
        <v>274</v>
      </c>
      <c r="F195" s="10" t="s">
        <v>35</v>
      </c>
      <c r="G195" s="11" t="str">
        <f>HYPERLINK("https://events.frye.ca/sites/frye/en/frye-festival/schedule/10708/S%C3%A9ance%20%22%C3%89crire%20en%20contexte%20plurilingue%22", "Info")</f>
        <v>Info</v>
      </c>
    </row>
    <row r="196">
      <c r="A196" s="2">
        <v>45777.0</v>
      </c>
      <c r="B196" s="12">
        <v>0.4895833333333333</v>
      </c>
      <c r="C196" s="4" t="s">
        <v>216</v>
      </c>
      <c r="D196" s="4" t="s">
        <v>276</v>
      </c>
      <c r="E196" s="4" t="s">
        <v>266</v>
      </c>
      <c r="F196" s="5">
        <v>40.0</v>
      </c>
      <c r="G196" s="6" t="str">
        <f>HYPERLINK("https://events.frye.ca/sites/frye/en/frye-festival/schedule/10618/Lunch%20litt%C3%A9raire%20%3A%20Petit%20crayon%20pour%20faire%20mine", "Info")</f>
        <v>Info</v>
      </c>
    </row>
    <row r="197">
      <c r="A197" s="7">
        <v>45777.0</v>
      </c>
      <c r="B197" s="8">
        <v>0.5625</v>
      </c>
      <c r="C197" s="9" t="s">
        <v>216</v>
      </c>
      <c r="D197" s="9" t="s">
        <v>277</v>
      </c>
      <c r="E197" s="9" t="s">
        <v>274</v>
      </c>
      <c r="F197" s="10" t="s">
        <v>35</v>
      </c>
      <c r="G197" s="11" t="str">
        <f>HYPERLINK("https://events.frye.ca/sites/frye/en/frye-festival/schedule/10709/Session%20%22Community%20and%20Literature%20Outside%20the%20Book%22", "Info")</f>
        <v>Info</v>
      </c>
    </row>
    <row r="198">
      <c r="A198" s="2">
        <v>45777.0</v>
      </c>
      <c r="B198" s="12">
        <v>0.6354166666666666</v>
      </c>
      <c r="C198" s="4" t="s">
        <v>216</v>
      </c>
      <c r="D198" s="4" t="s">
        <v>278</v>
      </c>
      <c r="E198" s="4" t="s">
        <v>274</v>
      </c>
      <c r="F198" s="5" t="s">
        <v>35</v>
      </c>
      <c r="G198" s="6" t="str">
        <f>HYPERLINK("https://events.frye.ca/sites/frye/en/frye-festival/schedule/10714/Literary%20Translation%20Workshop", "Info")</f>
        <v>Info</v>
      </c>
    </row>
    <row r="199">
      <c r="A199" s="7">
        <v>45777.0</v>
      </c>
      <c r="B199" s="8">
        <v>0.7291666666666666</v>
      </c>
      <c r="C199" s="9" t="s">
        <v>216</v>
      </c>
      <c r="D199" s="9" t="s">
        <v>279</v>
      </c>
      <c r="E199" s="9" t="s">
        <v>29</v>
      </c>
      <c r="F199" s="10" t="s">
        <v>35</v>
      </c>
      <c r="G199" s="11" t="str">
        <f>HYPERLINK("https://events.frye.ca/sites/frye/en/frye-festival/schedule/10621/Goose%20Lane%20Editions%20presents%3A%20For%20the%20Love%20of%20the%20Story", "Info")</f>
        <v>Info</v>
      </c>
    </row>
    <row r="200">
      <c r="A200" s="2">
        <v>45777.0</v>
      </c>
      <c r="B200" s="12">
        <v>0.75</v>
      </c>
      <c r="C200" s="4" t="s">
        <v>14</v>
      </c>
      <c r="D200" s="4" t="s">
        <v>280</v>
      </c>
      <c r="E200" s="4" t="s">
        <v>16</v>
      </c>
      <c r="F200" s="5" t="s">
        <v>281</v>
      </c>
      <c r="G200" s="6" t="str">
        <f>HYPERLINK("https://centredesartsdieppe.tuxedobillet.com/main/sculpture-sur-bois/20250129180000", "Tickets")</f>
        <v>Tickets</v>
      </c>
    </row>
    <row r="201">
      <c r="A201" s="7">
        <v>45777.0</v>
      </c>
      <c r="B201" s="8">
        <v>0.7916666666666666</v>
      </c>
      <c r="C201" s="9" t="s">
        <v>282</v>
      </c>
      <c r="D201" s="9" t="s">
        <v>19</v>
      </c>
      <c r="E201" s="9" t="s">
        <v>16</v>
      </c>
      <c r="F201" s="10">
        <v>23.0</v>
      </c>
      <c r="G201" s="11" t="str">
        <f>HYPERLINK("https://centredesartsdieppe.ca/en/programming/show/lio-saison-10", "Website")</f>
        <v>Website</v>
      </c>
    </row>
    <row r="202">
      <c r="A202" s="2">
        <v>45777.0</v>
      </c>
      <c r="B202" s="12">
        <v>0.7916666666666666</v>
      </c>
      <c r="C202" s="4" t="s">
        <v>20</v>
      </c>
      <c r="D202" s="4" t="s">
        <v>21</v>
      </c>
      <c r="E202" s="4" t="s">
        <v>22</v>
      </c>
      <c r="F202" s="5" t="s">
        <v>23</v>
      </c>
      <c r="G202" s="6" t="str">
        <f>HYPERLINK("https://riverviewlionsclub.ca/bingo/", "Website")</f>
        <v>Website</v>
      </c>
    </row>
    <row r="203">
      <c r="A203" s="7">
        <v>45777.0</v>
      </c>
      <c r="B203" s="8">
        <v>0.7916666666666666</v>
      </c>
      <c r="C203" s="9" t="s">
        <v>24</v>
      </c>
      <c r="D203" s="9" t="s">
        <v>25</v>
      </c>
      <c r="E203" s="9" t="s">
        <v>26</v>
      </c>
      <c r="F203" s="10">
        <v>7.0</v>
      </c>
      <c r="G203" s="11" t="str">
        <f>HYPERLINK("https://www.royalcanadianlegionbranch6moncton.com/", "Website")</f>
        <v>Website</v>
      </c>
    </row>
    <row r="204">
      <c r="A204" s="2">
        <v>45777.0</v>
      </c>
      <c r="B204" s="12">
        <v>0.8125</v>
      </c>
      <c r="C204" s="4" t="s">
        <v>216</v>
      </c>
      <c r="D204" s="4" t="s">
        <v>283</v>
      </c>
      <c r="E204" s="4" t="s">
        <v>29</v>
      </c>
      <c r="F204" s="5" t="s">
        <v>35</v>
      </c>
      <c r="G204" s="6" t="str">
        <f>HYPERLINK("https://events.frye.ca/sites/frye/en/frye-festival/schedule/10624/Lancement%20printanier%20des%20%C3%89ditions%20Perce-Neige", "Info")</f>
        <v>Info</v>
      </c>
    </row>
    <row r="205">
      <c r="A205" s="7">
        <v>45777.0</v>
      </c>
      <c r="B205" s="8">
        <v>0.8125</v>
      </c>
      <c r="C205" s="9" t="s">
        <v>231</v>
      </c>
      <c r="D205" s="9" t="s">
        <v>284</v>
      </c>
      <c r="E205" s="9" t="s">
        <v>53</v>
      </c>
      <c r="F205" s="10">
        <v>33.0</v>
      </c>
      <c r="G205" s="11" t="str">
        <f>HYPERLINK("https://capitol.tuxedobillet.com/main/fruit-machine/20250430193000", "Tickets")</f>
        <v>Tickets</v>
      </c>
    </row>
    <row r="206">
      <c r="A206" s="2">
        <v>45777.0</v>
      </c>
      <c r="B206" s="12">
        <v>0.8333333333333334</v>
      </c>
      <c r="C206" s="4" t="s">
        <v>144</v>
      </c>
      <c r="D206" s="4" t="s">
        <v>285</v>
      </c>
      <c r="E206" s="4" t="s">
        <v>79</v>
      </c>
      <c r="F206" s="5">
        <v>58.0</v>
      </c>
      <c r="G206" s="6" t="str">
        <f>HYPERLINK("https://www.eventbrite.ca/e/pouya-kxllswxtch-fat-nick-live-in-moncton-tickets-1223701627509", "Low")</f>
        <v>Low</v>
      </c>
    </row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B1"/>
  </mergeCells>
  <conditionalFormatting sqref="A119:G119 E84 E92">
    <cfRule type="expression" dxfId="0" priority="1">
      <formula>AND($A84 &lt;&gt; "", OR($A83 &gt; $A84, AND($A83 = $A84, $B83 &gt; $B84), AND($A83 = $A84, $B83 &lt;&gt; "", $B84 = "")))</formula>
    </cfRule>
  </conditionalFormatting>
  <conditionalFormatting sqref="A1:G206">
    <cfRule type="expression" dxfId="1" priority="2">
      <formula>OR($G1 = "Canceled", $G1 = "Cancelled", $G1 = "Postponed")</formula>
    </cfRule>
  </conditionalFormatting>
  <conditionalFormatting sqref="F1:F206">
    <cfRule type="expression" dxfId="2" priority="3">
      <formula>AND($F1 = "Pay What You Will", $A1 = TODAY())</formula>
    </cfRule>
  </conditionalFormatting>
  <conditionalFormatting sqref="G1:G206">
    <cfRule type="expression" dxfId="3" priority="4">
      <formula>AND($G1 = "Tickets", $A1 = TODAY())</formula>
    </cfRule>
  </conditionalFormatting>
  <conditionalFormatting sqref="A1:G206">
    <cfRule type="expression" dxfId="4" priority="5">
      <formula>$A1 = TODAY()</formula>
    </cfRule>
  </conditionalFormatting>
  <conditionalFormatting sqref="A1:G206">
    <cfRule type="expression" dxfId="5" priority="6">
      <formula>AND($G1 = "Sold Out", $A1 = TODAY())</formula>
    </cfRule>
  </conditionalFormatting>
  <conditionalFormatting sqref="A1:G206">
    <cfRule type="expression" dxfId="6" priority="7">
      <formula>AND($G1 = "Low", $A1 = TODAY())</formula>
    </cfRule>
  </conditionalFormatting>
  <conditionalFormatting sqref="A1:G206">
    <cfRule type="expression" dxfId="7" priority="8">
      <formula>AND($G1 = "Limited", $A1 = TODAY())</formula>
    </cfRule>
  </conditionalFormatting>
  <conditionalFormatting sqref="A1:G206">
    <cfRule type="expression" dxfId="8" priority="9">
      <formula>AND($G1 = "Popular", $A1 = TODAY())</formula>
    </cfRule>
  </conditionalFormatting>
  <conditionalFormatting sqref="A1:G206">
    <cfRule type="expression" dxfId="9" priority="10">
      <formula>$G1 = "Sold Out"</formula>
    </cfRule>
  </conditionalFormatting>
  <conditionalFormatting sqref="A1:G206">
    <cfRule type="expression" dxfId="10" priority="11">
      <formula>$G1 = "Low"</formula>
    </cfRule>
  </conditionalFormatting>
  <conditionalFormatting sqref="A1:G206">
    <cfRule type="expression" dxfId="11" priority="12">
      <formula>$G1 = "Limited"</formula>
    </cfRule>
  </conditionalFormatting>
  <conditionalFormatting sqref="A1:G206">
    <cfRule type="expression" dxfId="12" priority="13">
      <formula>$G1 = "Popular"</formula>
    </cfRule>
  </conditionalFormatting>
  <conditionalFormatting sqref="F1:F206">
    <cfRule type="cellIs" dxfId="13" priority="14" operator="equal">
      <formula>"Pay What You Will"</formula>
    </cfRule>
  </conditionalFormatting>
  <conditionalFormatting sqref="G1:G206">
    <cfRule type="cellIs" dxfId="14" priority="15" operator="equal">
      <formula>"Tickets"</formula>
    </cfRule>
  </conditionalFormatting>
  <hyperlinks>
    <hyperlink r:id="rId1" ref="G129"/>
  </hyperlinks>
  <drawing r:id="rId2"/>
</worksheet>
</file>